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11820" tabRatio="821" activeTab="4"/>
  </bookViews>
  <sheets>
    <sheet name="汇率" sheetId="5" r:id="rId1"/>
    <sheet name="逆变器-硕日" sheetId="2" r:id="rId2"/>
    <sheet name="逆变器-固德威" sheetId="4" r:id="rId3"/>
    <sheet name="逆变器-10年质保" sheetId="12" r:id="rId4"/>
    <sheet name="东南亚仓组件" sheetId="10" r:id="rId5"/>
    <sheet name="东南亚仓逆变器" sheetId="9" r:id="rId6"/>
    <sheet name="FOB组件参考价（东南亚）" sheetId="8" r:id="rId7"/>
    <sheet name="阳台光伏(东南亚)" sheetId="11" r:id="rId8"/>
    <sheet name="客户类型定义" sheetId="3" r:id="rId9"/>
  </sheets>
  <definedNames>
    <definedName name="_xlnm._FilterDatabase" localSheetId="2" hidden="1">'逆变器-固德威'!$A$2:$H$30</definedName>
    <definedName name="_xlnm._FilterDatabase" localSheetId="1" hidden="1">'逆变器-硕日'!$A$2:$AQ$18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0" authorId="0">
      <text>
        <r>
          <rPr>
            <sz val="9"/>
            <rFont val="宋体"/>
            <charset val="134"/>
          </rPr>
          <t xml:space="preserve">无打托尺寸
</t>
        </r>
      </text>
    </comment>
  </commentList>
</comments>
</file>

<file path=xl/sharedStrings.xml><?xml version="1.0" encoding="utf-8"?>
<sst xmlns="http://schemas.openxmlformats.org/spreadsheetml/2006/main" count="664" uniqueCount="261">
  <si>
    <t>汇率</t>
  </si>
  <si>
    <t>更新时间
4-30</t>
  </si>
  <si>
    <t>USD-CNY</t>
  </si>
  <si>
    <t>€-CNY</t>
  </si>
  <si>
    <t>中信保</t>
  </si>
  <si>
    <t>USD-泰铢</t>
  </si>
  <si>
    <t>USD-马币</t>
  </si>
  <si>
    <t>USD-越南盾</t>
  </si>
  <si>
    <t>USD-EUR</t>
  </si>
  <si>
    <t>产品信息</t>
  </si>
  <si>
    <t>装箱情况</t>
  </si>
  <si>
    <t>FOB市场定价$</t>
  </si>
  <si>
    <t>FOB市场定价€</t>
  </si>
  <si>
    <t>市场定价欧仓提货价$</t>
  </si>
  <si>
    <t>市场定价欧仓提货价€</t>
  </si>
  <si>
    <t>厂家</t>
  </si>
  <si>
    <t>分类</t>
  </si>
  <si>
    <t>物料编码</t>
  </si>
  <si>
    <t>产品型号</t>
  </si>
  <si>
    <t>规格</t>
  </si>
  <si>
    <t>装柜量</t>
  </si>
  <si>
    <t>单托数量</t>
  </si>
  <si>
    <t>托盘数</t>
  </si>
  <si>
    <t>大型经销商</t>
  </si>
  <si>
    <t>中型经销商</t>
  </si>
  <si>
    <t>中型安装商</t>
  </si>
  <si>
    <t>小型安装商</t>
  </si>
  <si>
    <t>硕日</t>
  </si>
  <si>
    <t>Low voltage
Single phase 低压单相逆变器</t>
  </si>
  <si>
    <t>N036101-000091-001</t>
  </si>
  <si>
    <t>SWH3600L-S1-SR</t>
  </si>
  <si>
    <t>3.6kw</t>
  </si>
  <si>
    <t>N036101-000092-001</t>
  </si>
  <si>
    <t>SWH4000L-S1-SR</t>
  </si>
  <si>
    <t>4kw</t>
  </si>
  <si>
    <t>N036101-000006-005</t>
  </si>
  <si>
    <t>SWH5000L-S1-SR</t>
  </si>
  <si>
    <t>5kw</t>
  </si>
  <si>
    <t>N036101-000017-003</t>
  </si>
  <si>
    <t>SWH6000L-S1-SR</t>
  </si>
  <si>
    <t>6kw</t>
  </si>
  <si>
    <t>N036101-000007-004</t>
  </si>
  <si>
    <t>SWH008KL-S1-SR</t>
  </si>
  <si>
    <t>8kw</t>
  </si>
  <si>
    <t>N036101-000008-007</t>
  </si>
  <si>
    <t>SWH010KL-S1-SR</t>
  </si>
  <si>
    <t>10kw</t>
  </si>
  <si>
    <t>N036101-000016-003</t>
  </si>
  <si>
    <t>SWH012KL-S1-SR</t>
  </si>
  <si>
    <t>12kw</t>
  </si>
  <si>
    <t>LV Battery 5.12KWh Rack 低压电池机架式</t>
  </si>
  <si>
    <t>N030502-000034-000</t>
  </si>
  <si>
    <t>低压电池 SWR5.12-L1-SR</t>
  </si>
  <si>
    <t>5.12kWh 机架式</t>
  </si>
  <si>
    <t>LV Battery 5.12Kwh Wall 低压壁挂电池</t>
  </si>
  <si>
    <t>N030502-000036-000</t>
  </si>
  <si>
    <t>低压电池 SWR5.12-L1-SW</t>
  </si>
  <si>
    <t>5.12kWh壁挂式</t>
  </si>
  <si>
    <t>LV Battery 10.24KWh Wall低压壁挂电池</t>
  </si>
  <si>
    <t>N030502-000038-000</t>
  </si>
  <si>
    <t>低压电池 SWR10.24-L1-SW</t>
  </si>
  <si>
    <t>10.24kWh壁挂式</t>
  </si>
  <si>
    <t>16.07kWh低压壁挂电池 (51.2V, 314Ah, IP30)</t>
  </si>
  <si>
    <t>N030502-000044-000</t>
  </si>
  <si>
    <t>SWR16.07-L2-SW</t>
  </si>
  <si>
    <t>16.07kWh壁挂式</t>
  </si>
  <si>
    <t>（低压电池）IP30</t>
  </si>
  <si>
    <t>SWR5.12-L1-SW</t>
  </si>
  <si>
    <t>5.12kWh</t>
  </si>
  <si>
    <t>SWR10.24-L1-SW</t>
  </si>
  <si>
    <t>10.24kWh</t>
  </si>
  <si>
    <t>三相低压逆变器</t>
  </si>
  <si>
    <t>SPI-8K-H3P</t>
  </si>
  <si>
    <t>SPI-10K-H4P</t>
  </si>
  <si>
    <t>SPI-12K-H5P</t>
  </si>
  <si>
    <t>创维型号</t>
  </si>
  <si>
    <t>固德威（东南亚）</t>
  </si>
  <si>
    <t>单相低压储能逆变器</t>
  </si>
  <si>
    <t>GW3000-ES-C10</t>
  </si>
  <si>
    <t>SWH3000L-S1-G2</t>
  </si>
  <si>
    <t>3KW</t>
  </si>
  <si>
    <t>GW3600-ES-C10</t>
  </si>
  <si>
    <t>SWH3600L-S1-G2</t>
  </si>
  <si>
    <t>3.6kW</t>
  </si>
  <si>
    <t>GW5000-ES-C10</t>
  </si>
  <si>
    <t>SWH5000L-S1-G2</t>
  </si>
  <si>
    <t>5KW</t>
  </si>
  <si>
    <t>GW6000-ES-C10</t>
  </si>
  <si>
    <t>SWH6000L-S1-G2</t>
  </si>
  <si>
    <t>6k</t>
  </si>
  <si>
    <t>GW8000-ES-C10</t>
  </si>
  <si>
    <t>SWH8000L-S1-G2</t>
  </si>
  <si>
    <t>8k</t>
  </si>
  <si>
    <t>GW10K-ES-C10</t>
  </si>
  <si>
    <t>SWH010KL-S1-G2</t>
  </si>
  <si>
    <t>10k</t>
  </si>
  <si>
    <t>GW12K-ES-C10</t>
  </si>
  <si>
    <t>SWH012KL-S1-G2</t>
  </si>
  <si>
    <t>12k</t>
  </si>
  <si>
    <t>三相低压储能逆变器</t>
  </si>
  <si>
    <t>GW6K-ET-L-G10</t>
  </si>
  <si>
    <t>SWH6000L-T1-G2</t>
  </si>
  <si>
    <t>GW8K-ET-L-G10</t>
  </si>
  <si>
    <t>SWH8000L-T1-G2</t>
  </si>
  <si>
    <t>GW10K-ET-L-G10</t>
  </si>
  <si>
    <t>SWH010KL-T1-G2</t>
  </si>
  <si>
    <t>W12K-ET-L-G10</t>
  </si>
  <si>
    <t>SWH012KL-T1-G2</t>
  </si>
  <si>
    <t>GW15K-ET-L-G10</t>
  </si>
  <si>
    <t>SWH015KL-T1-G2</t>
  </si>
  <si>
    <t>15k</t>
  </si>
  <si>
    <t>GW20K-ET-L-G10</t>
  </si>
  <si>
    <t>SWH020KL-T1-G2</t>
  </si>
  <si>
    <t>20k</t>
  </si>
  <si>
    <t>低压电池（IP65)</t>
  </si>
  <si>
    <t>LXU 5.0-30</t>
  </si>
  <si>
    <t>SWR5.12-L1-GW</t>
  </si>
  <si>
    <t>5.12kWh（壁挂/落地）</t>
  </si>
  <si>
    <t>LXU 5.0-30*2</t>
  </si>
  <si>
    <t>5.12kWh（堆叠）</t>
  </si>
  <si>
    <t>低压电池B(IP20)</t>
  </si>
  <si>
    <t>LX A5.0-10</t>
  </si>
  <si>
    <t>SWR5.12-L2-GR</t>
  </si>
  <si>
    <t>LX A5.0-10*2</t>
  </si>
  <si>
    <t>GW14.3-BAT-LV-G10</t>
  </si>
  <si>
    <t>14.3kWh</t>
  </si>
  <si>
    <t>三相高压储能逆变器</t>
  </si>
  <si>
    <t>GW30K-ET/GW30K-ET-10（内置STS)</t>
  </si>
  <si>
    <t>SWH030KH-T1-G2</t>
  </si>
  <si>
    <t>30k</t>
  </si>
  <si>
    <t>GW40K-ET-10（STS可选配）</t>
  </si>
  <si>
    <t>SWH040KH-T1-G2</t>
  </si>
  <si>
    <t>40k</t>
  </si>
  <si>
    <t>GW50K-ET-10（STS可选配）</t>
  </si>
  <si>
    <t>SWH050KH-T1-G2</t>
  </si>
  <si>
    <t>50k</t>
  </si>
  <si>
    <t>GW100K-ET G10</t>
  </si>
  <si>
    <t>SWH100KH-T1-G2</t>
  </si>
  <si>
    <t>100k</t>
  </si>
  <si>
    <t>储能电池柜（高压）</t>
  </si>
  <si>
    <t>GW102.4-BAT-AC-G10/GW112.6-BAT_x0002_AC-G10/（气溶胶）</t>
  </si>
  <si>
    <t>SWC102.4-H1-GC/SWC112.6-H1-GC</t>
  </si>
  <si>
    <t>100kWh</t>
  </si>
  <si>
    <t>三相并网逆变器</t>
  </si>
  <si>
    <t>GW80K-SMT/GW80K-SMT</t>
  </si>
  <si>
    <t>80k</t>
  </si>
  <si>
    <t>GW100K-GT/GW100K-GT</t>
  </si>
  <si>
    <t>GW110K-GT/GW110K-GT</t>
  </si>
  <si>
    <t>110K</t>
  </si>
  <si>
    <t>GW125K-GT/GW125K-GT</t>
  </si>
  <si>
    <t>125kW</t>
  </si>
  <si>
    <t>并机选配</t>
  </si>
  <si>
    <t>SEC3000C</t>
  </si>
  <si>
    <t>智能通讯箱</t>
  </si>
  <si>
    <t>装柜数量</t>
  </si>
  <si>
    <t>Low voltage
Single phase 低压单相逆变器（10年质保）</t>
  </si>
  <si>
    <t>三相低压逆变器（10年质保）</t>
  </si>
  <si>
    <t>固德威（欧洲）</t>
  </si>
  <si>
    <t>单相低压储能逆变器（10年质保）</t>
  </si>
  <si>
    <t>GW3000-ES-20</t>
  </si>
  <si>
    <t>SWH3000L-S2-G2</t>
  </si>
  <si>
    <t>GW3600-ES-20</t>
  </si>
  <si>
    <t>SWH3600L-S2-G2</t>
  </si>
  <si>
    <t>GW5000-ES-20</t>
  </si>
  <si>
    <t>SWH5000L-S2-G2</t>
  </si>
  <si>
    <t>GW6000-ES-20</t>
  </si>
  <si>
    <t>SWH6000L-S2-G2</t>
  </si>
  <si>
    <t>三相高压储能逆变器（10年质保）</t>
  </si>
  <si>
    <t>GW6000-ET-20</t>
  </si>
  <si>
    <t>SWH6000H-T1-G2</t>
  </si>
  <si>
    <t>5k</t>
  </si>
  <si>
    <t>GW8000-ET-20</t>
  </si>
  <si>
    <t>SWH8000H-T1-G2</t>
  </si>
  <si>
    <t>GW10K-ET-20</t>
  </si>
  <si>
    <t>SWH010KH-T1-G2</t>
  </si>
  <si>
    <t>GW12K-ET-20</t>
  </si>
  <si>
    <t>SWH012KH-T1-G2</t>
  </si>
  <si>
    <t>GW15K-ET-20</t>
  </si>
  <si>
    <t>SWH015KH-T1-G2</t>
  </si>
  <si>
    <t>GW20K-ET</t>
  </si>
  <si>
    <t>SWH020KH-T1-G2</t>
  </si>
  <si>
    <t>GW100K-ET-G10</t>
  </si>
  <si>
    <t>三相并网逆变器（10年质保）</t>
  </si>
  <si>
    <t>SW100KTL-T1-G2</t>
  </si>
  <si>
    <t>SW110KTL-T1-G2</t>
  </si>
  <si>
    <t>SW125KTL-T1-G2</t>
  </si>
  <si>
    <t>三相低压储能逆变器（10年质保）</t>
  </si>
  <si>
    <t>GW12K-ET-L-G10</t>
  </si>
  <si>
    <t>国家</t>
  </si>
  <si>
    <t>SKU</t>
  </si>
  <si>
    <t>型号</t>
  </si>
  <si>
    <t>本地自提定价（EXW）$/PCS</t>
  </si>
  <si>
    <t>本地自提定价（EXW）＄/W</t>
  </si>
  <si>
    <t>整柜</t>
  </si>
  <si>
    <t>整托</t>
  </si>
  <si>
    <t>不成整托</t>
  </si>
  <si>
    <t>泰国</t>
  </si>
  <si>
    <t>N036001-000707-000</t>
  </si>
  <si>
    <t>组件</t>
  </si>
  <si>
    <t>620--广州高景</t>
  </si>
  <si>
    <t>QM210THCD-625-66</t>
  </si>
  <si>
    <t>660--珠海爱旭</t>
  </si>
  <si>
    <t>本地自提定价（DAP）$/PCS</t>
  </si>
  <si>
    <t>本地自提定价（DAP）＄/W</t>
  </si>
  <si>
    <t>越南</t>
  </si>
  <si>
    <t>马来西亚</t>
  </si>
  <si>
    <t>本地自提定价（EXW）$</t>
  </si>
  <si>
    <t>N036101-000201-002</t>
  </si>
  <si>
    <t>并网逆变器</t>
  </si>
  <si>
    <t>GW5K-DNS-G40</t>
  </si>
  <si>
    <t>N046002-000463-000</t>
  </si>
  <si>
    <t>电表</t>
  </si>
  <si>
    <t>GMK110</t>
  </si>
  <si>
    <t>N036101-000253-001</t>
  </si>
  <si>
    <t>储能逆变器</t>
  </si>
  <si>
    <t>N030502-000055-000</t>
  </si>
  <si>
    <t>电池</t>
  </si>
  <si>
    <t>N036101-000255-001</t>
  </si>
  <si>
    <t>N030502-000056-000</t>
  </si>
  <si>
    <t>N036101-000254-001</t>
  </si>
  <si>
    <r>
      <rPr>
        <sz val="12"/>
        <rFont val="微软雅黑"/>
        <charset val="134"/>
      </rPr>
      <t>本地自提定价（</t>
    </r>
    <r>
      <rPr>
        <sz val="12"/>
        <color rgb="FFFF0000"/>
        <rFont val="微软雅黑"/>
        <charset val="134"/>
      </rPr>
      <t>DAP</t>
    </r>
    <r>
      <rPr>
        <sz val="12"/>
        <rFont val="微软雅黑"/>
        <charset val="134"/>
      </rPr>
      <t>）$/PCS</t>
    </r>
  </si>
  <si>
    <t>FOB参考价$/PCS</t>
  </si>
  <si>
    <t>FOB参考价$/W</t>
  </si>
  <si>
    <t>功率</t>
  </si>
  <si>
    <t>组件类型</t>
  </si>
  <si>
    <t>QM210THCD-48</t>
  </si>
  <si>
    <t>450W</t>
  </si>
  <si>
    <t>TOPCON全黑  QM210THCD450-48</t>
  </si>
  <si>
    <t>QM210THCD-60</t>
  </si>
  <si>
    <t>500W</t>
  </si>
  <si>
    <t>TOPCON全黑  QM210THCD450-49 1.2米线</t>
  </si>
  <si>
    <t>TOPCON全黑  QM210THCD450-49 2.4米线</t>
  </si>
  <si>
    <t>QM210THCD-66</t>
  </si>
  <si>
    <t>615-630W</t>
  </si>
  <si>
    <t>TOPCON</t>
  </si>
  <si>
    <t>QM210AHCD-66(BC)</t>
  </si>
  <si>
    <t>655W</t>
  </si>
  <si>
    <t>BC</t>
  </si>
  <si>
    <t>660W</t>
  </si>
  <si>
    <t>710-720W</t>
  </si>
  <si>
    <t>价格测算</t>
  </si>
  <si>
    <t>组件选型</t>
  </si>
  <si>
    <t>FOB价格
/CNY</t>
  </si>
  <si>
    <t>FOB价格
/＄</t>
  </si>
  <si>
    <t>经销商本地价格 RMB</t>
  </si>
  <si>
    <t>经销商本地价格 THB</t>
  </si>
  <si>
    <t>本地零售价 THB</t>
  </si>
  <si>
    <t>一拖二</t>
  </si>
  <si>
    <t>一拖四</t>
  </si>
  <si>
    <t>经销商本地价格VND</t>
  </si>
  <si>
    <t>本地零售价VND</t>
  </si>
  <si>
    <t>经销商本地价格MYR</t>
  </si>
  <si>
    <t>本地零售价MYR</t>
  </si>
  <si>
    <t>客户类型</t>
  </si>
  <si>
    <t>客户类型定义</t>
  </si>
  <si>
    <t>MOQ</t>
  </si>
  <si>
    <t>年度一千万以上</t>
  </si>
  <si>
    <t>年度五百万以上</t>
  </si>
  <si>
    <t>整柜或一百万以上</t>
  </si>
  <si>
    <t>整托及以上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</si>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</sst>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$#,##0.00;\-\$#,##0.00"/>
    <numFmt numFmtId="178" formatCode="\$#,##0.000_);[Red]\(\$#,##0.000\)"/>
    <numFmt numFmtId="179" formatCode="\$#,##0.000;\-\$#,##0.000"/>
    <numFmt numFmtId="180" formatCode="#,##0.00\ &quot;€&quot;;\-#,##0.00\ &quot;€&quot;"/>
    <numFmt numFmtId="181" formatCode="0.00_ "/>
    <numFmt numFmtId="182" formatCode="0.00_);[Red]\(0.00\)"/>
    <numFmt numFmtId="183" formatCode="0.000%"/>
  </numFmts>
  <fonts count="44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10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9"/>
      <color theme="1"/>
      <name val="等线"/>
      <charset val="134"/>
      <scheme val="minor"/>
    </font>
    <font>
      <sz val="8"/>
      <color indexed="8"/>
      <name val="微软雅黑"/>
      <charset val="134"/>
    </font>
    <font>
      <sz val="9"/>
      <name val="SimSun"/>
      <charset val="134"/>
    </font>
    <font>
      <sz val="9"/>
      <name val="微软雅黑"/>
      <charset val="134"/>
    </font>
    <font>
      <b/>
      <sz val="16"/>
      <color theme="0"/>
      <name val="Microsoft YaHei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微软雅黑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19" applyNumberFormat="0" applyAlignment="0" applyProtection="0">
      <alignment vertical="center"/>
    </xf>
    <xf numFmtId="0" fontId="32" fillId="12" borderId="20" applyNumberFormat="0" applyAlignment="0" applyProtection="0">
      <alignment vertical="center"/>
    </xf>
    <xf numFmtId="0" fontId="33" fillId="12" borderId="19" applyNumberFormat="0" applyAlignment="0" applyProtection="0">
      <alignment vertical="center"/>
    </xf>
    <xf numFmtId="0" fontId="34" fillId="13" borderId="21" applyNumberFormat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0" fillId="0" borderId="0"/>
  </cellStyleXfs>
  <cellXfs count="160">
    <xf numFmtId="0" fontId="0" fillId="0" borderId="0" xfId="0">
      <alignment vertical="center"/>
    </xf>
    <xf numFmtId="0" fontId="1" fillId="0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justify" vertical="top" wrapText="1"/>
    </xf>
    <xf numFmtId="0" fontId="1" fillId="0" borderId="2" xfId="0" applyFont="1" applyFill="1" applyBorder="1" applyAlignment="1">
      <alignment horizontal="justify" vertical="top" wrapText="1"/>
    </xf>
    <xf numFmtId="0" fontId="2" fillId="0" borderId="2" xfId="0" applyFont="1" applyFill="1" applyBorder="1" applyAlignment="1">
      <alignment horizontal="justify" vertical="top" wrapText="1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0" xfId="3" applyNumberFormat="1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6" fontId="4" fillId="2" borderId="7" xfId="3" applyNumberFormat="1" applyFont="1" applyFill="1" applyBorder="1" applyAlignment="1">
      <alignment horizontal="center" vertical="center"/>
    </xf>
    <xf numFmtId="176" fontId="0" fillId="0" borderId="0" xfId="3" applyNumberFormat="1" applyFo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177" fontId="6" fillId="5" borderId="8" xfId="0" applyNumberFormat="1" applyFont="1" applyFill="1" applyBorder="1" applyAlignment="1">
      <alignment horizontal="center" vertical="center" wrapText="1"/>
    </xf>
    <xf numFmtId="177" fontId="7" fillId="5" borderId="8" xfId="0" applyNumberFormat="1" applyFont="1" applyFill="1" applyBorder="1" applyAlignment="1">
      <alignment horizontal="center" vertical="center" wrapText="1"/>
    </xf>
    <xf numFmtId="26" fontId="7" fillId="0" borderId="8" xfId="0" applyNumberFormat="1" applyFont="1" applyFill="1" applyBorder="1" applyAlignment="1">
      <alignment horizontal="left" vertical="center" wrapText="1"/>
    </xf>
    <xf numFmtId="178" fontId="7" fillId="0" borderId="8" xfId="0" applyNumberFormat="1" applyFont="1" applyFill="1" applyBorder="1" applyAlignment="1">
      <alignment horizontal="left" vertical="center" wrapText="1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8" fillId="0" borderId="0" xfId="0" applyFont="1" applyFill="1" applyAlignment="1">
      <alignment horizontal="left" vertical="center" wrapText="1"/>
    </xf>
    <xf numFmtId="177" fontId="9" fillId="0" borderId="0" xfId="0" applyNumberFormat="1" applyFont="1">
      <alignment vertical="center"/>
    </xf>
    <xf numFmtId="0" fontId="10" fillId="5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177" fontId="11" fillId="5" borderId="8" xfId="49" applyNumberFormat="1" applyFont="1" applyFill="1" applyBorder="1" applyAlignment="1">
      <alignment horizontal="center" vertical="center" wrapText="1"/>
    </xf>
    <xf numFmtId="177" fontId="10" fillId="5" borderId="8" xfId="49" applyNumberFormat="1" applyFont="1" applyFill="1" applyBorder="1" applyAlignment="1">
      <alignment horizontal="center" vertical="center"/>
    </xf>
    <xf numFmtId="177" fontId="12" fillId="0" borderId="8" xfId="0" applyNumberFormat="1" applyFont="1" applyFill="1" applyBorder="1" applyAlignment="1">
      <alignment horizontal="center" vertical="center" wrapText="1"/>
    </xf>
    <xf numFmtId="177" fontId="12" fillId="0" borderId="0" xfId="0" applyNumberFormat="1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9" fillId="0" borderId="0" xfId="0" applyFon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2" fillId="5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12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77" fontId="14" fillId="5" borderId="5" xfId="49" applyNumberFormat="1" applyFont="1" applyFill="1" applyBorder="1" applyAlignment="1">
      <alignment horizontal="center" vertical="center" wrapText="1"/>
    </xf>
    <xf numFmtId="177" fontId="14" fillId="5" borderId="0" xfId="49" applyNumberFormat="1" applyFont="1" applyFill="1" applyAlignment="1">
      <alignment horizontal="center" vertical="center" wrapText="1"/>
    </xf>
    <xf numFmtId="179" fontId="14" fillId="5" borderId="6" xfId="49" applyNumberFormat="1" applyFont="1" applyFill="1" applyBorder="1" applyAlignment="1">
      <alignment horizontal="center" vertical="center" wrapText="1"/>
    </xf>
    <xf numFmtId="177" fontId="12" fillId="5" borderId="8" xfId="49" applyNumberFormat="1" applyFont="1" applyFill="1" applyBorder="1" applyAlignment="1">
      <alignment horizontal="center" vertical="center"/>
    </xf>
    <xf numFmtId="179" fontId="12" fillId="5" borderId="8" xfId="49" applyNumberFormat="1" applyFont="1" applyFill="1" applyBorder="1" applyAlignment="1">
      <alignment horizontal="center" vertical="center"/>
    </xf>
    <xf numFmtId="177" fontId="8" fillId="0" borderId="8" xfId="0" applyNumberFormat="1" applyFont="1" applyFill="1" applyBorder="1" applyAlignment="1">
      <alignment horizontal="center" vertical="center" wrapText="1"/>
    </xf>
    <xf numFmtId="179" fontId="8" fillId="0" borderId="8" xfId="0" applyNumberFormat="1" applyFont="1" applyFill="1" applyBorder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179" fontId="8" fillId="0" borderId="0" xfId="0" applyNumberFormat="1" applyFont="1" applyFill="1" applyAlignment="1">
      <alignment horizontal="center" vertical="center" wrapText="1"/>
    </xf>
    <xf numFmtId="177" fontId="7" fillId="0" borderId="0" xfId="0" applyNumberFormat="1" applyFont="1" applyFill="1" applyAlignment="1">
      <alignment horizontal="left" vertical="center" wrapText="1"/>
    </xf>
    <xf numFmtId="179" fontId="7" fillId="0" borderId="0" xfId="0" applyNumberFormat="1" applyFont="1" applyFill="1" applyAlignment="1">
      <alignment horizontal="left" vertical="center" wrapText="1"/>
    </xf>
    <xf numFmtId="177" fontId="8" fillId="0" borderId="0" xfId="0" applyNumberFormat="1" applyFont="1" applyFill="1" applyAlignment="1">
      <alignment horizontal="left" vertical="center" wrapText="1"/>
    </xf>
    <xf numFmtId="179" fontId="8" fillId="0" borderId="0" xfId="0" applyNumberFormat="1" applyFont="1" applyFill="1" applyAlignment="1">
      <alignment horizontal="left" vertical="center" wrapText="1"/>
    </xf>
    <xf numFmtId="179" fontId="14" fillId="5" borderId="7" xfId="49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177" fontId="15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/>
    </xf>
    <xf numFmtId="0" fontId="15" fillId="6" borderId="8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/>
    </xf>
    <xf numFmtId="0" fontId="15" fillId="6" borderId="8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 wrapText="1"/>
    </xf>
    <xf numFmtId="0" fontId="15" fillId="0" borderId="8" xfId="0" applyNumberFormat="1" applyFont="1" applyFill="1" applyBorder="1" applyAlignment="1">
      <alignment horizontal="left" vertical="center"/>
    </xf>
    <xf numFmtId="0" fontId="15" fillId="6" borderId="12" xfId="0" applyFont="1" applyFill="1" applyBorder="1" applyAlignment="1">
      <alignment horizontal="left" vertical="center" wrapText="1"/>
    </xf>
    <xf numFmtId="0" fontId="15" fillId="6" borderId="9" xfId="0" applyFont="1" applyFill="1" applyBorder="1" applyAlignment="1">
      <alignment horizontal="left" vertical="center" wrapText="1"/>
    </xf>
    <xf numFmtId="0" fontId="15" fillId="6" borderId="13" xfId="0" applyFont="1" applyFill="1" applyBorder="1" applyAlignment="1">
      <alignment horizontal="left" vertical="center" wrapText="1"/>
    </xf>
    <xf numFmtId="0" fontId="15" fillId="0" borderId="8" xfId="0" applyNumberFormat="1" applyFont="1" applyFill="1" applyBorder="1" applyAlignment="1" applyProtection="1">
      <alignment horizontal="left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 wrapText="1"/>
    </xf>
    <xf numFmtId="177" fontId="16" fillId="5" borderId="8" xfId="0" applyNumberFormat="1" applyFont="1" applyFill="1" applyBorder="1" applyAlignment="1">
      <alignment horizontal="center" vertical="center"/>
    </xf>
    <xf numFmtId="177" fontId="16" fillId="5" borderId="8" xfId="0" applyNumberFormat="1" applyFont="1" applyFill="1" applyBorder="1" applyAlignment="1">
      <alignment horizontal="center" vertical="center" wrapText="1"/>
    </xf>
    <xf numFmtId="177" fontId="15" fillId="0" borderId="8" xfId="0" applyNumberFormat="1" applyFont="1" applyBorder="1" applyAlignment="1">
      <alignment horizontal="center" vertical="center"/>
    </xf>
    <xf numFmtId="180" fontId="16" fillId="5" borderId="8" xfId="0" applyNumberFormat="1" applyFont="1" applyFill="1" applyBorder="1" applyAlignment="1">
      <alignment horizontal="center" vertical="center"/>
    </xf>
    <xf numFmtId="180" fontId="16" fillId="5" borderId="8" xfId="0" applyNumberFormat="1" applyFont="1" applyFill="1" applyBorder="1" applyAlignment="1">
      <alignment horizontal="center" vertical="center" wrapText="1"/>
    </xf>
    <xf numFmtId="180" fontId="15" fillId="0" borderId="8" xfId="0" applyNumberFormat="1" applyFont="1" applyBorder="1" applyAlignment="1">
      <alignment horizontal="center" vertical="center"/>
    </xf>
    <xf numFmtId="177" fontId="17" fillId="0" borderId="0" xfId="0" applyNumberFormat="1" applyFont="1" applyFill="1">
      <alignment vertical="center"/>
    </xf>
    <xf numFmtId="177" fontId="17" fillId="0" borderId="0" xfId="0" applyNumberFormat="1" applyFont="1">
      <alignment vertical="center"/>
    </xf>
    <xf numFmtId="180" fontId="17" fillId="0" borderId="0" xfId="0" applyNumberFormat="1" applyFont="1">
      <alignment vertical="center"/>
    </xf>
    <xf numFmtId="0" fontId="17" fillId="0" borderId="0" xfId="0" applyFont="1">
      <alignment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18" fillId="7" borderId="8" xfId="0" applyNumberFormat="1" applyFont="1" applyFill="1" applyBorder="1" applyAlignment="1" applyProtection="1">
      <alignment horizontal="left" vertical="center"/>
    </xf>
    <xf numFmtId="0" fontId="7" fillId="0" borderId="8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 wrapText="1"/>
    </xf>
    <xf numFmtId="0" fontId="11" fillId="5" borderId="1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177" fontId="20" fillId="5" borderId="8" xfId="0" applyNumberFormat="1" applyFont="1" applyFill="1" applyBorder="1" applyAlignment="1">
      <alignment horizontal="center" vertical="center"/>
    </xf>
    <xf numFmtId="177" fontId="20" fillId="5" borderId="8" xfId="0" applyNumberFormat="1" applyFont="1" applyFill="1" applyBorder="1" applyAlignment="1">
      <alignment horizontal="center" vertical="center" wrapText="1"/>
    </xf>
    <xf numFmtId="177" fontId="17" fillId="0" borderId="8" xfId="0" applyNumberFormat="1" applyFont="1" applyFill="1" applyBorder="1" applyAlignment="1">
      <alignment horizontal="center" vertical="center"/>
    </xf>
    <xf numFmtId="180" fontId="20" fillId="5" borderId="8" xfId="0" applyNumberFormat="1" applyFont="1" applyFill="1" applyBorder="1" applyAlignment="1">
      <alignment horizontal="center" vertical="center"/>
    </xf>
    <xf numFmtId="180" fontId="20" fillId="5" borderId="8" xfId="0" applyNumberFormat="1" applyFont="1" applyFill="1" applyBorder="1" applyAlignment="1">
      <alignment horizontal="center" vertical="center" wrapText="1"/>
    </xf>
    <xf numFmtId="180" fontId="17" fillId="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81" fontId="0" fillId="0" borderId="0" xfId="0" applyNumberFormat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left"/>
    </xf>
    <xf numFmtId="0" fontId="7" fillId="8" borderId="12" xfId="0" applyFont="1" applyFill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/>
    </xf>
    <xf numFmtId="0" fontId="20" fillId="5" borderId="14" xfId="0" applyFont="1" applyFill="1" applyBorder="1" applyAlignment="1">
      <alignment horizontal="center" vertical="center"/>
    </xf>
    <xf numFmtId="181" fontId="20" fillId="5" borderId="8" xfId="0" applyNumberFormat="1" applyFont="1" applyFill="1" applyBorder="1" applyAlignment="1">
      <alignment horizontal="center" vertical="center"/>
    </xf>
    <xf numFmtId="181" fontId="20" fillId="5" borderId="8" xfId="0" applyNumberFormat="1" applyFont="1" applyFill="1" applyBorder="1" applyAlignment="1">
      <alignment horizontal="center" vertical="center" wrapText="1"/>
    </xf>
    <xf numFmtId="177" fontId="7" fillId="8" borderId="8" xfId="0" applyNumberFormat="1" applyFont="1" applyFill="1" applyBorder="1" applyAlignment="1">
      <alignment horizontal="center" vertical="center" wrapText="1"/>
    </xf>
    <xf numFmtId="180" fontId="7" fillId="8" borderId="8" xfId="0" applyNumberFormat="1" applyFont="1" applyFill="1" applyBorder="1" applyAlignment="1">
      <alignment horizontal="center" vertical="center" wrapText="1"/>
    </xf>
    <xf numFmtId="182" fontId="20" fillId="5" borderId="8" xfId="0" applyNumberFormat="1" applyFont="1" applyFill="1" applyBorder="1" applyAlignment="1">
      <alignment horizontal="center" vertical="center"/>
    </xf>
    <xf numFmtId="182" fontId="20" fillId="5" borderId="8" xfId="0" applyNumberFormat="1" applyFont="1" applyFill="1" applyBorder="1" applyAlignment="1">
      <alignment horizontal="center" vertical="center" wrapText="1"/>
    </xf>
    <xf numFmtId="180" fontId="8" fillId="0" borderId="8" xfId="0" applyNumberFormat="1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83" fontId="22" fillId="0" borderId="0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M8" sqref="M8"/>
    </sheetView>
  </sheetViews>
  <sheetFormatPr defaultColWidth="8.66964285714286" defaultRowHeight="16.8" outlineLevelCol="2"/>
  <cols>
    <col min="1" max="1" width="14.5803571428571" customWidth="1"/>
    <col min="2" max="2" width="13.0803571428571" customWidth="1"/>
    <col min="3" max="3" width="11.75" customWidth="1"/>
  </cols>
  <sheetData>
    <row r="1" ht="34" spans="1:3">
      <c r="A1" s="151" t="s">
        <v>0</v>
      </c>
      <c r="B1" s="152"/>
      <c r="C1" s="153" t="s">
        <v>1</v>
      </c>
    </row>
    <row r="2" ht="17" spans="1:3">
      <c r="A2" s="154" t="s">
        <v>2</v>
      </c>
      <c r="B2" s="154">
        <v>6.8628</v>
      </c>
      <c r="C2" s="155"/>
    </row>
    <row r="3" ht="17" spans="1:3">
      <c r="A3" s="154" t="s">
        <v>3</v>
      </c>
      <c r="B3" s="154">
        <v>8.0057</v>
      </c>
      <c r="C3" s="155"/>
    </row>
    <row r="4" spans="1:2">
      <c r="A4" s="154"/>
      <c r="B4" s="154"/>
    </row>
    <row r="5" ht="17" spans="1:2">
      <c r="A5" s="154" t="s">
        <v>4</v>
      </c>
      <c r="B5" s="156">
        <v>0.00163</v>
      </c>
    </row>
    <row r="6" spans="1:2">
      <c r="A6" s="157"/>
      <c r="B6" s="157"/>
    </row>
    <row r="7" ht="17" spans="1:2">
      <c r="A7" s="158" t="s">
        <v>5</v>
      </c>
      <c r="B7" s="157">
        <v>32.05</v>
      </c>
    </row>
    <row r="8" ht="17" spans="1:2">
      <c r="A8" s="158" t="s">
        <v>6</v>
      </c>
      <c r="B8" s="157">
        <v>3.9855</v>
      </c>
    </row>
    <row r="9" ht="17" spans="1:2">
      <c r="A9" s="158" t="s">
        <v>7</v>
      </c>
      <c r="B9" s="157">
        <v>26321</v>
      </c>
    </row>
    <row r="10" spans="1:2">
      <c r="A10" s="159"/>
      <c r="B10" s="159"/>
    </row>
    <row r="11" spans="1:2">
      <c r="A11" t="s">
        <v>8</v>
      </c>
      <c r="B11" s="157">
        <v>0.8527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opLeftCell="B1" workbookViewId="0">
      <selection activeCell="F24" sqref="F24"/>
    </sheetView>
  </sheetViews>
  <sheetFormatPr defaultColWidth="9" defaultRowHeight="16.8"/>
  <cols>
    <col min="1" max="1" width="10.8303571428571" customWidth="1"/>
    <col min="2" max="2" width="29.3125" style="132" customWidth="1"/>
    <col min="3" max="3" width="20.9732142857143" style="28" customWidth="1"/>
    <col min="4" max="4" width="16.1517857142857" customWidth="1"/>
    <col min="9" max="20" width="9.66964285714286" style="133"/>
    <col min="21" max="23" width="9" style="28"/>
    <col min="24" max="24" width="12.6696428571429" style="28"/>
  </cols>
  <sheetData>
    <row r="1" s="28" customFormat="1" ht="21" customHeight="1" spans="1:24">
      <c r="A1" s="134" t="s">
        <v>9</v>
      </c>
      <c r="B1" s="135"/>
      <c r="C1" s="135"/>
      <c r="D1" s="135"/>
      <c r="E1" s="143"/>
      <c r="F1" s="134" t="s">
        <v>10</v>
      </c>
      <c r="G1" s="135"/>
      <c r="H1" s="143"/>
      <c r="I1" s="144" t="s">
        <v>11</v>
      </c>
      <c r="J1" s="144"/>
      <c r="K1" s="144"/>
      <c r="L1" s="144"/>
      <c r="M1" s="144" t="s">
        <v>12</v>
      </c>
      <c r="N1" s="144"/>
      <c r="O1" s="144"/>
      <c r="P1" s="144"/>
      <c r="Q1" s="148" t="s">
        <v>13</v>
      </c>
      <c r="R1" s="148"/>
      <c r="S1" s="148"/>
      <c r="T1" s="148"/>
      <c r="U1" s="148" t="s">
        <v>14</v>
      </c>
      <c r="V1" s="148"/>
      <c r="W1" s="148"/>
      <c r="X1" s="148"/>
    </row>
    <row r="2" s="28" customFormat="1" ht="21" customHeight="1" spans="1:24">
      <c r="A2" s="136" t="s">
        <v>15</v>
      </c>
      <c r="B2" s="136" t="s">
        <v>16</v>
      </c>
      <c r="C2" s="136" t="s">
        <v>17</v>
      </c>
      <c r="D2" s="136" t="s">
        <v>18</v>
      </c>
      <c r="E2" s="136" t="s">
        <v>19</v>
      </c>
      <c r="F2" s="136" t="s">
        <v>20</v>
      </c>
      <c r="G2" s="136" t="s">
        <v>21</v>
      </c>
      <c r="H2" s="136" t="s">
        <v>22</v>
      </c>
      <c r="I2" s="145" t="s">
        <v>23</v>
      </c>
      <c r="J2" s="145" t="s">
        <v>24</v>
      </c>
      <c r="K2" s="145" t="s">
        <v>25</v>
      </c>
      <c r="L2" s="145" t="s">
        <v>26</v>
      </c>
      <c r="M2" s="145" t="s">
        <v>23</v>
      </c>
      <c r="N2" s="145" t="s">
        <v>24</v>
      </c>
      <c r="O2" s="145" t="s">
        <v>25</v>
      </c>
      <c r="P2" s="145" t="s">
        <v>26</v>
      </c>
      <c r="Q2" s="149" t="s">
        <v>23</v>
      </c>
      <c r="R2" s="149" t="s">
        <v>24</v>
      </c>
      <c r="S2" s="149" t="s">
        <v>25</v>
      </c>
      <c r="T2" s="149" t="s">
        <v>26</v>
      </c>
      <c r="U2" s="149" t="s">
        <v>23</v>
      </c>
      <c r="V2" s="149" t="s">
        <v>24</v>
      </c>
      <c r="W2" s="149" t="s">
        <v>25</v>
      </c>
      <c r="X2" s="149" t="s">
        <v>26</v>
      </c>
    </row>
    <row r="3" ht="16" customHeight="1" spans="1:24">
      <c r="A3" s="137" t="s">
        <v>27</v>
      </c>
      <c r="B3" s="138" t="s">
        <v>28</v>
      </c>
      <c r="C3" s="139" t="s">
        <v>29</v>
      </c>
      <c r="D3" s="140" t="s">
        <v>30</v>
      </c>
      <c r="E3" s="137" t="s">
        <v>31</v>
      </c>
      <c r="F3" s="125">
        <v>672</v>
      </c>
      <c r="G3" s="125">
        <v>16</v>
      </c>
      <c r="H3" s="125">
        <v>42</v>
      </c>
      <c r="I3" s="146">
        <v>484.58</v>
      </c>
      <c r="J3" s="146">
        <v>502.7</v>
      </c>
      <c r="K3" s="146">
        <v>520.81</v>
      </c>
      <c r="L3" s="146">
        <v>566.1</v>
      </c>
      <c r="M3" s="147">
        <v>410.88</v>
      </c>
      <c r="N3" s="147">
        <v>426.24</v>
      </c>
      <c r="O3" s="147">
        <v>441.6</v>
      </c>
      <c r="P3" s="147">
        <v>480</v>
      </c>
      <c r="Q3" s="146">
        <v>499.44</v>
      </c>
      <c r="R3" s="146">
        <v>518.11</v>
      </c>
      <c r="S3" s="146">
        <v>536.78</v>
      </c>
      <c r="T3" s="146">
        <v>583.45</v>
      </c>
      <c r="U3" s="150">
        <v>423.47</v>
      </c>
      <c r="V3" s="150">
        <v>439.3</v>
      </c>
      <c r="W3" s="150">
        <v>455.13</v>
      </c>
      <c r="X3" s="150">
        <v>494.71</v>
      </c>
    </row>
    <row r="4" ht="16" customHeight="1" spans="1:24">
      <c r="A4" s="137"/>
      <c r="B4" s="137"/>
      <c r="C4" s="139" t="s">
        <v>32</v>
      </c>
      <c r="D4" s="140" t="s">
        <v>33</v>
      </c>
      <c r="E4" s="137" t="s">
        <v>34</v>
      </c>
      <c r="F4" s="125">
        <v>672</v>
      </c>
      <c r="G4" s="125">
        <v>16</v>
      </c>
      <c r="H4" s="125">
        <v>42</v>
      </c>
      <c r="I4" s="146">
        <v>484.58</v>
      </c>
      <c r="J4" s="146">
        <v>502.7</v>
      </c>
      <c r="K4" s="146">
        <v>520.81</v>
      </c>
      <c r="L4" s="146">
        <v>566.1</v>
      </c>
      <c r="M4" s="147">
        <v>410.88</v>
      </c>
      <c r="N4" s="147">
        <v>426.24</v>
      </c>
      <c r="O4" s="147">
        <v>441.6</v>
      </c>
      <c r="P4" s="147">
        <v>480</v>
      </c>
      <c r="Q4" s="146">
        <v>499.44</v>
      </c>
      <c r="R4" s="146">
        <v>518.11</v>
      </c>
      <c r="S4" s="146">
        <v>536.78</v>
      </c>
      <c r="T4" s="146">
        <v>583.45</v>
      </c>
      <c r="U4" s="150">
        <v>423.47</v>
      </c>
      <c r="V4" s="150">
        <v>439.3</v>
      </c>
      <c r="W4" s="150">
        <v>455.13</v>
      </c>
      <c r="X4" s="150">
        <v>494.71</v>
      </c>
    </row>
    <row r="5" ht="16" customHeight="1" spans="1:24">
      <c r="A5" s="137"/>
      <c r="B5" s="137"/>
      <c r="C5" s="139" t="s">
        <v>35</v>
      </c>
      <c r="D5" s="140" t="s">
        <v>36</v>
      </c>
      <c r="E5" s="137" t="s">
        <v>37</v>
      </c>
      <c r="F5" s="125">
        <v>672</v>
      </c>
      <c r="G5" s="125">
        <v>16</v>
      </c>
      <c r="H5" s="125">
        <v>42</v>
      </c>
      <c r="I5" s="146">
        <v>484.58</v>
      </c>
      <c r="J5" s="146">
        <v>502.7</v>
      </c>
      <c r="K5" s="146">
        <v>520.81</v>
      </c>
      <c r="L5" s="146">
        <v>566.1</v>
      </c>
      <c r="M5" s="147">
        <v>410.88</v>
      </c>
      <c r="N5" s="147">
        <v>426.24</v>
      </c>
      <c r="O5" s="147">
        <v>441.6</v>
      </c>
      <c r="P5" s="147">
        <v>480</v>
      </c>
      <c r="Q5" s="146">
        <v>499.44</v>
      </c>
      <c r="R5" s="146">
        <v>518.11</v>
      </c>
      <c r="S5" s="146">
        <v>536.78</v>
      </c>
      <c r="T5" s="146">
        <v>583.45</v>
      </c>
      <c r="U5" s="150">
        <v>423.47</v>
      </c>
      <c r="V5" s="150">
        <v>439.3</v>
      </c>
      <c r="W5" s="150">
        <v>455.13</v>
      </c>
      <c r="X5" s="150">
        <v>494.71</v>
      </c>
    </row>
    <row r="6" ht="16" customHeight="1" spans="1:24">
      <c r="A6" s="137"/>
      <c r="B6" s="137"/>
      <c r="C6" s="125" t="s">
        <v>38</v>
      </c>
      <c r="D6" s="140" t="s">
        <v>39</v>
      </c>
      <c r="E6" s="137" t="s">
        <v>40</v>
      </c>
      <c r="F6" s="125">
        <v>672</v>
      </c>
      <c r="G6" s="125">
        <v>16</v>
      </c>
      <c r="H6" s="125">
        <v>42</v>
      </c>
      <c r="I6" s="146">
        <v>484.58</v>
      </c>
      <c r="J6" s="146">
        <v>502.7</v>
      </c>
      <c r="K6" s="146">
        <v>520.81</v>
      </c>
      <c r="L6" s="146">
        <v>566.1</v>
      </c>
      <c r="M6" s="147">
        <v>410.88</v>
      </c>
      <c r="N6" s="147">
        <v>426.24</v>
      </c>
      <c r="O6" s="147">
        <v>441.6</v>
      </c>
      <c r="P6" s="147">
        <v>480</v>
      </c>
      <c r="Q6" s="146">
        <v>499.44</v>
      </c>
      <c r="R6" s="146">
        <v>518.11</v>
      </c>
      <c r="S6" s="146">
        <v>536.78</v>
      </c>
      <c r="T6" s="146">
        <v>583.45</v>
      </c>
      <c r="U6" s="150">
        <v>423.47</v>
      </c>
      <c r="V6" s="150">
        <v>439.3</v>
      </c>
      <c r="W6" s="150">
        <v>455.13</v>
      </c>
      <c r="X6" s="150">
        <v>494.71</v>
      </c>
    </row>
    <row r="7" ht="16" customHeight="1" spans="1:24">
      <c r="A7" s="137"/>
      <c r="B7" s="137"/>
      <c r="C7" s="125" t="s">
        <v>41</v>
      </c>
      <c r="D7" s="140" t="s">
        <v>42</v>
      </c>
      <c r="E7" s="137" t="s">
        <v>43</v>
      </c>
      <c r="F7" s="125">
        <v>252</v>
      </c>
      <c r="G7" s="125">
        <v>12</v>
      </c>
      <c r="H7" s="125">
        <v>21</v>
      </c>
      <c r="I7" s="146">
        <v>1011.21</v>
      </c>
      <c r="J7" s="146">
        <v>1049.01</v>
      </c>
      <c r="K7" s="146">
        <v>1086.81</v>
      </c>
      <c r="L7" s="146">
        <v>1181.32</v>
      </c>
      <c r="M7" s="147">
        <v>857.4</v>
      </c>
      <c r="N7" s="147">
        <v>889.45</v>
      </c>
      <c r="O7" s="147">
        <v>921.51</v>
      </c>
      <c r="P7" s="147">
        <v>1001.64</v>
      </c>
      <c r="Q7" s="146">
        <v>1044.6</v>
      </c>
      <c r="R7" s="146">
        <v>1083.65</v>
      </c>
      <c r="S7" s="146">
        <v>1122.7</v>
      </c>
      <c r="T7" s="146">
        <v>1220.32</v>
      </c>
      <c r="U7" s="150">
        <v>885.71</v>
      </c>
      <c r="V7" s="150">
        <v>918.83</v>
      </c>
      <c r="W7" s="150">
        <v>951.94</v>
      </c>
      <c r="X7" s="150">
        <v>1034.71</v>
      </c>
    </row>
    <row r="8" ht="16" customHeight="1" spans="1:24">
      <c r="A8" s="137"/>
      <c r="B8" s="137"/>
      <c r="C8" s="125" t="s">
        <v>44</v>
      </c>
      <c r="D8" s="140" t="s">
        <v>45</v>
      </c>
      <c r="E8" s="137" t="s">
        <v>46</v>
      </c>
      <c r="F8" s="125">
        <v>252</v>
      </c>
      <c r="G8" s="125">
        <v>12</v>
      </c>
      <c r="H8" s="125">
        <v>21</v>
      </c>
      <c r="I8" s="146">
        <v>1011.21</v>
      </c>
      <c r="J8" s="146">
        <v>1049.01</v>
      </c>
      <c r="K8" s="146">
        <v>1086.81</v>
      </c>
      <c r="L8" s="146">
        <v>1181.32</v>
      </c>
      <c r="M8" s="147">
        <v>857.4</v>
      </c>
      <c r="N8" s="147">
        <v>889.45</v>
      </c>
      <c r="O8" s="147">
        <v>921.51</v>
      </c>
      <c r="P8" s="147">
        <v>1001.64</v>
      </c>
      <c r="Q8" s="146">
        <v>1044.6</v>
      </c>
      <c r="R8" s="146">
        <v>1083.65</v>
      </c>
      <c r="S8" s="146">
        <v>1122.7</v>
      </c>
      <c r="T8" s="146">
        <v>1220.32</v>
      </c>
      <c r="U8" s="150">
        <v>885.71</v>
      </c>
      <c r="V8" s="150">
        <v>918.83</v>
      </c>
      <c r="W8" s="150">
        <v>951.94</v>
      </c>
      <c r="X8" s="150">
        <v>1034.71</v>
      </c>
    </row>
    <row r="9" ht="16" customHeight="1" spans="1:24">
      <c r="A9" s="137"/>
      <c r="B9" s="137"/>
      <c r="C9" s="125" t="s">
        <v>47</v>
      </c>
      <c r="D9" s="140" t="s">
        <v>48</v>
      </c>
      <c r="E9" s="137" t="s">
        <v>49</v>
      </c>
      <c r="F9" s="125">
        <v>252</v>
      </c>
      <c r="G9" s="125">
        <v>12</v>
      </c>
      <c r="H9" s="125">
        <v>21</v>
      </c>
      <c r="I9" s="146">
        <v>1011.21</v>
      </c>
      <c r="J9" s="146">
        <v>1049.01</v>
      </c>
      <c r="K9" s="146">
        <v>1086.81</v>
      </c>
      <c r="L9" s="146">
        <v>1181.32</v>
      </c>
      <c r="M9" s="147">
        <v>857.4</v>
      </c>
      <c r="N9" s="147">
        <v>889.45</v>
      </c>
      <c r="O9" s="147">
        <v>921.51</v>
      </c>
      <c r="P9" s="147">
        <v>1001.64</v>
      </c>
      <c r="Q9" s="146">
        <v>1044.6</v>
      </c>
      <c r="R9" s="146">
        <v>1083.65</v>
      </c>
      <c r="S9" s="146">
        <v>1122.7</v>
      </c>
      <c r="T9" s="146">
        <v>1220.32</v>
      </c>
      <c r="U9" s="150">
        <v>885.71</v>
      </c>
      <c r="V9" s="150">
        <v>918.83</v>
      </c>
      <c r="W9" s="150">
        <v>951.94</v>
      </c>
      <c r="X9" s="150">
        <v>1034.71</v>
      </c>
    </row>
    <row r="10" ht="16" customHeight="1" spans="1:24">
      <c r="A10" s="137"/>
      <c r="B10" s="137" t="s">
        <v>50</v>
      </c>
      <c r="C10" s="125" t="s">
        <v>51</v>
      </c>
      <c r="D10" s="140" t="s">
        <v>52</v>
      </c>
      <c r="E10" s="137" t="s">
        <v>53</v>
      </c>
      <c r="F10" s="125">
        <v>576</v>
      </c>
      <c r="G10" s="125">
        <v>12</v>
      </c>
      <c r="H10" s="125">
        <v>48</v>
      </c>
      <c r="I10" s="146">
        <v>548.44</v>
      </c>
      <c r="J10" s="146">
        <v>568.94</v>
      </c>
      <c r="K10" s="146">
        <v>589.45</v>
      </c>
      <c r="L10" s="146">
        <v>640.7</v>
      </c>
      <c r="M10" s="147">
        <v>465.02</v>
      </c>
      <c r="N10" s="147">
        <v>482.41</v>
      </c>
      <c r="O10" s="147">
        <v>499.79</v>
      </c>
      <c r="P10" s="147">
        <v>543.25</v>
      </c>
      <c r="Q10" s="146">
        <v>582.76</v>
      </c>
      <c r="R10" s="146">
        <v>604.55</v>
      </c>
      <c r="S10" s="146">
        <v>626.33</v>
      </c>
      <c r="T10" s="146">
        <v>680.8</v>
      </c>
      <c r="U10" s="150">
        <v>494.13</v>
      </c>
      <c r="V10" s="150">
        <v>512.6</v>
      </c>
      <c r="W10" s="150">
        <v>531.07</v>
      </c>
      <c r="X10" s="150">
        <v>577.25</v>
      </c>
    </row>
    <row r="11" ht="16" customHeight="1" spans="1:24">
      <c r="A11" s="137"/>
      <c r="B11" s="137" t="s">
        <v>54</v>
      </c>
      <c r="C11" s="125" t="s">
        <v>55</v>
      </c>
      <c r="D11" s="140" t="s">
        <v>56</v>
      </c>
      <c r="E11" s="137" t="s">
        <v>57</v>
      </c>
      <c r="F11" s="125">
        <v>416</v>
      </c>
      <c r="G11" s="125">
        <v>8</v>
      </c>
      <c r="H11" s="125">
        <v>52</v>
      </c>
      <c r="I11" s="146">
        <v>696.82</v>
      </c>
      <c r="J11" s="146">
        <v>722.87</v>
      </c>
      <c r="K11" s="146">
        <v>748.91</v>
      </c>
      <c r="L11" s="146">
        <v>814.04</v>
      </c>
      <c r="M11" s="147">
        <v>590.83</v>
      </c>
      <c r="N11" s="147">
        <v>612.92</v>
      </c>
      <c r="O11" s="147">
        <v>635</v>
      </c>
      <c r="P11" s="147">
        <v>690.22</v>
      </c>
      <c r="Q11" s="146">
        <v>742.17</v>
      </c>
      <c r="R11" s="146">
        <v>769.92</v>
      </c>
      <c r="S11" s="146">
        <v>797.66</v>
      </c>
      <c r="T11" s="146">
        <v>867.02</v>
      </c>
      <c r="U11" s="150">
        <v>629.29</v>
      </c>
      <c r="V11" s="150">
        <v>652.81</v>
      </c>
      <c r="W11" s="150">
        <v>676.34</v>
      </c>
      <c r="X11" s="150">
        <v>735.15</v>
      </c>
    </row>
    <row r="12" ht="16" customHeight="1" spans="1:24">
      <c r="A12" s="137"/>
      <c r="B12" s="137" t="s">
        <v>58</v>
      </c>
      <c r="C12" s="125" t="s">
        <v>59</v>
      </c>
      <c r="D12" s="140" t="s">
        <v>60</v>
      </c>
      <c r="E12" s="137" t="s">
        <v>61</v>
      </c>
      <c r="F12" s="125">
        <v>256</v>
      </c>
      <c r="G12" s="125">
        <v>4</v>
      </c>
      <c r="H12" s="125">
        <v>64</v>
      </c>
      <c r="I12" s="146">
        <v>1481.68</v>
      </c>
      <c r="J12" s="146">
        <v>1537.07</v>
      </c>
      <c r="K12" s="146">
        <v>1592.46</v>
      </c>
      <c r="L12" s="146">
        <v>1730.94</v>
      </c>
      <c r="M12" s="147">
        <v>1256.32</v>
      </c>
      <c r="N12" s="147">
        <v>1303.28</v>
      </c>
      <c r="O12" s="147">
        <v>1350.25</v>
      </c>
      <c r="P12" s="147">
        <v>1467.66</v>
      </c>
      <c r="Q12" s="146">
        <v>1570.48</v>
      </c>
      <c r="R12" s="146">
        <v>1629.19</v>
      </c>
      <c r="S12" s="146">
        <v>1687.9</v>
      </c>
      <c r="T12" s="146">
        <v>1834.68</v>
      </c>
      <c r="U12" s="150">
        <v>1331.61</v>
      </c>
      <c r="V12" s="150">
        <v>1381.39</v>
      </c>
      <c r="W12" s="150">
        <v>1431.17</v>
      </c>
      <c r="X12" s="150">
        <v>1555.62</v>
      </c>
    </row>
    <row r="13" ht="16" customHeight="1" spans="1:24">
      <c r="A13" s="137"/>
      <c r="B13" s="137" t="s">
        <v>62</v>
      </c>
      <c r="C13" s="125" t="s">
        <v>63</v>
      </c>
      <c r="D13" s="140" t="s">
        <v>64</v>
      </c>
      <c r="E13" s="137" t="s">
        <v>65</v>
      </c>
      <c r="F13" s="125">
        <v>240</v>
      </c>
      <c r="G13" s="125">
        <v>1</v>
      </c>
      <c r="H13" s="125">
        <v>240</v>
      </c>
      <c r="I13" s="146">
        <v>1407.94</v>
      </c>
      <c r="J13" s="146">
        <v>1460.57</v>
      </c>
      <c r="K13" s="146">
        <v>1513.21</v>
      </c>
      <c r="L13" s="146">
        <v>1644.79</v>
      </c>
      <c r="M13" s="147">
        <v>1193.79</v>
      </c>
      <c r="N13" s="147">
        <v>1238.42</v>
      </c>
      <c r="O13" s="147">
        <v>1283.05</v>
      </c>
      <c r="P13" s="147">
        <v>1394.62</v>
      </c>
      <c r="Q13" s="146">
        <v>1521.58</v>
      </c>
      <c r="R13" s="146">
        <v>1578.46</v>
      </c>
      <c r="S13" s="146">
        <v>1635.34</v>
      </c>
      <c r="T13" s="146">
        <v>1777.54</v>
      </c>
      <c r="U13" s="150">
        <v>1290.15</v>
      </c>
      <c r="V13" s="150">
        <v>1338.38</v>
      </c>
      <c r="W13" s="150">
        <v>1386.6</v>
      </c>
      <c r="X13" s="150">
        <v>1507.18</v>
      </c>
    </row>
    <row r="14" ht="16" customHeight="1" spans="1:24">
      <c r="A14" s="137"/>
      <c r="B14" s="141" t="s">
        <v>66</v>
      </c>
      <c r="C14" s="125"/>
      <c r="D14" s="140" t="s">
        <v>67</v>
      </c>
      <c r="E14" s="125" t="s">
        <v>68</v>
      </c>
      <c r="F14" s="125">
        <v>368</v>
      </c>
      <c r="G14" s="125">
        <v>8</v>
      </c>
      <c r="H14" s="125">
        <v>46</v>
      </c>
      <c r="I14" s="146">
        <v>563.96</v>
      </c>
      <c r="J14" s="146">
        <v>585.05</v>
      </c>
      <c r="K14" s="146">
        <v>606.13</v>
      </c>
      <c r="L14" s="146">
        <v>658.84</v>
      </c>
      <c r="M14" s="147">
        <v>478.19</v>
      </c>
      <c r="N14" s="147">
        <v>496.06</v>
      </c>
      <c r="O14" s="147">
        <v>513.94</v>
      </c>
      <c r="P14" s="147">
        <v>558.63</v>
      </c>
      <c r="Q14" s="146">
        <v>605.95</v>
      </c>
      <c r="R14" s="146">
        <v>628.6</v>
      </c>
      <c r="S14" s="146">
        <v>651.25</v>
      </c>
      <c r="T14" s="146">
        <v>707.88</v>
      </c>
      <c r="U14" s="150">
        <v>513.78</v>
      </c>
      <c r="V14" s="150">
        <v>532.99</v>
      </c>
      <c r="W14" s="150">
        <v>552.2</v>
      </c>
      <c r="X14" s="150">
        <v>600.21</v>
      </c>
    </row>
    <row r="15" ht="16" customHeight="1" spans="1:24">
      <c r="A15" s="137"/>
      <c r="B15" s="142"/>
      <c r="C15" s="125"/>
      <c r="D15" s="140" t="s">
        <v>69</v>
      </c>
      <c r="E15" s="125" t="s">
        <v>70</v>
      </c>
      <c r="F15" s="125">
        <v>264</v>
      </c>
      <c r="G15" s="125">
        <v>4</v>
      </c>
      <c r="H15" s="125">
        <v>66</v>
      </c>
      <c r="I15" s="146">
        <v>993.61</v>
      </c>
      <c r="J15" s="146">
        <v>1030.75</v>
      </c>
      <c r="K15" s="146">
        <v>1067.89</v>
      </c>
      <c r="L15" s="146">
        <v>1160.75</v>
      </c>
      <c r="M15" s="147">
        <v>842.48</v>
      </c>
      <c r="N15" s="147">
        <v>873.97</v>
      </c>
      <c r="O15" s="147">
        <v>905.47</v>
      </c>
      <c r="P15" s="147">
        <v>984.2</v>
      </c>
      <c r="Q15" s="146">
        <v>1062.76</v>
      </c>
      <c r="R15" s="146">
        <v>1102.49</v>
      </c>
      <c r="S15" s="146">
        <v>1142.22</v>
      </c>
      <c r="T15" s="146">
        <v>1241.55</v>
      </c>
      <c r="U15" s="150">
        <v>901.12</v>
      </c>
      <c r="V15" s="150">
        <v>934.8</v>
      </c>
      <c r="W15" s="150">
        <v>968.49</v>
      </c>
      <c r="X15" s="150">
        <v>1052.71</v>
      </c>
    </row>
    <row r="16" ht="16" customHeight="1" spans="1:24">
      <c r="A16" s="137"/>
      <c r="B16" s="137" t="s">
        <v>71</v>
      </c>
      <c r="C16" s="125"/>
      <c r="D16" s="140" t="s">
        <v>72</v>
      </c>
      <c r="E16" s="137" t="s">
        <v>43</v>
      </c>
      <c r="F16" s="125">
        <v>322</v>
      </c>
      <c r="G16" s="125">
        <v>7</v>
      </c>
      <c r="H16" s="125">
        <v>46</v>
      </c>
      <c r="I16" s="146">
        <v>1024.52</v>
      </c>
      <c r="J16" s="146">
        <v>1062.82</v>
      </c>
      <c r="K16" s="146">
        <v>1101.12</v>
      </c>
      <c r="L16" s="146">
        <v>1196.87</v>
      </c>
      <c r="M16" s="147">
        <v>868.69</v>
      </c>
      <c r="N16" s="147">
        <v>901.16</v>
      </c>
      <c r="O16" s="147">
        <v>933.64</v>
      </c>
      <c r="P16" s="147">
        <v>1014.82</v>
      </c>
      <c r="Q16" s="146">
        <v>1055.86</v>
      </c>
      <c r="R16" s="146">
        <v>1095.33</v>
      </c>
      <c r="S16" s="146">
        <v>1134.81</v>
      </c>
      <c r="T16" s="146">
        <v>1233.48</v>
      </c>
      <c r="U16" s="150">
        <v>895.27</v>
      </c>
      <c r="V16" s="150">
        <v>928.73</v>
      </c>
      <c r="W16" s="150">
        <v>962.2</v>
      </c>
      <c r="X16" s="150">
        <v>1045.87</v>
      </c>
    </row>
    <row r="17" ht="16" customHeight="1" spans="1:24">
      <c r="A17" s="137"/>
      <c r="B17" s="137"/>
      <c r="C17" s="125"/>
      <c r="D17" s="140" t="s">
        <v>73</v>
      </c>
      <c r="E17" s="137" t="s">
        <v>46</v>
      </c>
      <c r="F17" s="125">
        <v>322</v>
      </c>
      <c r="G17" s="125">
        <v>7</v>
      </c>
      <c r="H17" s="125">
        <v>46</v>
      </c>
      <c r="I17" s="146">
        <v>1024.52</v>
      </c>
      <c r="J17" s="146">
        <v>1062.82</v>
      </c>
      <c r="K17" s="146">
        <v>1101.12</v>
      </c>
      <c r="L17" s="146">
        <v>1196.87</v>
      </c>
      <c r="M17" s="147">
        <v>868.69</v>
      </c>
      <c r="N17" s="147">
        <v>901.16</v>
      </c>
      <c r="O17" s="147">
        <v>933.64</v>
      </c>
      <c r="P17" s="147">
        <v>1014.82</v>
      </c>
      <c r="Q17" s="146">
        <v>1055.86</v>
      </c>
      <c r="R17" s="146">
        <v>1095.33</v>
      </c>
      <c r="S17" s="146">
        <v>1134.81</v>
      </c>
      <c r="T17" s="146">
        <v>1233.48</v>
      </c>
      <c r="U17" s="150">
        <v>895.27</v>
      </c>
      <c r="V17" s="150">
        <v>928.73</v>
      </c>
      <c r="W17" s="150">
        <v>962.2</v>
      </c>
      <c r="X17" s="150">
        <v>1045.87</v>
      </c>
    </row>
    <row r="18" ht="16" customHeight="1" spans="1:24">
      <c r="A18" s="137"/>
      <c r="B18" s="137"/>
      <c r="C18" s="125"/>
      <c r="D18" s="140" t="s">
        <v>74</v>
      </c>
      <c r="E18" s="137" t="s">
        <v>49</v>
      </c>
      <c r="F18" s="125">
        <v>322</v>
      </c>
      <c r="G18" s="125">
        <v>7</v>
      </c>
      <c r="H18" s="125">
        <v>46</v>
      </c>
      <c r="I18" s="146">
        <v>1024.52</v>
      </c>
      <c r="J18" s="146">
        <v>1062.82</v>
      </c>
      <c r="K18" s="146">
        <v>1101.12</v>
      </c>
      <c r="L18" s="146">
        <v>1196.87</v>
      </c>
      <c r="M18" s="147">
        <v>868.69</v>
      </c>
      <c r="N18" s="147">
        <v>901.16</v>
      </c>
      <c r="O18" s="147">
        <v>933.64</v>
      </c>
      <c r="P18" s="147">
        <v>1014.82</v>
      </c>
      <c r="Q18" s="146">
        <v>1055.86</v>
      </c>
      <c r="R18" s="146">
        <v>1095.33</v>
      </c>
      <c r="S18" s="146">
        <v>1134.81</v>
      </c>
      <c r="T18" s="146">
        <v>1233.48</v>
      </c>
      <c r="U18" s="150">
        <v>895.27</v>
      </c>
      <c r="V18" s="150">
        <v>928.73</v>
      </c>
      <c r="W18" s="150">
        <v>962.2</v>
      </c>
      <c r="X18" s="150">
        <v>1045.87</v>
      </c>
    </row>
  </sheetData>
  <mergeCells count="10">
    <mergeCell ref="A1:E1"/>
    <mergeCell ref="F1:H1"/>
    <mergeCell ref="I1:L1"/>
    <mergeCell ref="M1:P1"/>
    <mergeCell ref="Q1:T1"/>
    <mergeCell ref="U1:X1"/>
    <mergeCell ref="A3:A18"/>
    <mergeCell ref="B3:B9"/>
    <mergeCell ref="B14:B15"/>
    <mergeCell ref="B16:B18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31"/>
  <sheetViews>
    <sheetView zoomScale="114" zoomScaleNormal="114" workbookViewId="0">
      <selection activeCell="C12" sqref="C12"/>
    </sheetView>
  </sheetViews>
  <sheetFormatPr defaultColWidth="8.91964285714286" defaultRowHeight="16.8"/>
  <cols>
    <col min="1" max="1" width="11.75" customWidth="1"/>
    <col min="2" max="2" width="10.7053571428571" customWidth="1"/>
    <col min="3" max="3" width="20.1696428571429" customWidth="1"/>
    <col min="4" max="4" width="15.5803571428571" customWidth="1"/>
    <col min="9" max="9" width="10" style="102"/>
    <col min="10" max="12" width="10" style="103"/>
    <col min="13" max="16" width="11.8571428571429" style="104"/>
    <col min="17" max="20" width="10" style="103"/>
    <col min="21" max="24" width="11.8571428571429" style="104"/>
    <col min="25" max="121" width="8.91964285714286" style="105"/>
  </cols>
  <sheetData>
    <row r="1" customFormat="1" ht="25" customHeight="1" spans="1:121">
      <c r="A1" s="106" t="s">
        <v>9</v>
      </c>
      <c r="B1" s="107"/>
      <c r="C1" s="107"/>
      <c r="D1" s="107"/>
      <c r="E1" s="122"/>
      <c r="F1" s="106" t="s">
        <v>10</v>
      </c>
      <c r="G1" s="107"/>
      <c r="H1" s="122"/>
      <c r="I1" s="126" t="s">
        <v>11</v>
      </c>
      <c r="J1" s="126"/>
      <c r="K1" s="126"/>
      <c r="L1" s="126"/>
      <c r="M1" s="129" t="s">
        <v>12</v>
      </c>
      <c r="N1" s="129"/>
      <c r="O1" s="129"/>
      <c r="P1" s="129"/>
      <c r="Q1" s="126" t="s">
        <v>13</v>
      </c>
      <c r="R1" s="126"/>
      <c r="S1" s="126"/>
      <c r="T1" s="126"/>
      <c r="U1" s="129" t="s">
        <v>14</v>
      </c>
      <c r="V1" s="129"/>
      <c r="W1" s="129"/>
      <c r="X1" s="129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</row>
    <row r="2" customFormat="1" ht="25" customHeight="1" spans="1:121">
      <c r="A2" s="32" t="s">
        <v>15</v>
      </c>
      <c r="B2" s="32" t="s">
        <v>16</v>
      </c>
      <c r="C2" s="32" t="s">
        <v>18</v>
      </c>
      <c r="D2" s="32" t="s">
        <v>75</v>
      </c>
      <c r="E2" s="32" t="s">
        <v>19</v>
      </c>
      <c r="F2" s="32" t="s">
        <v>20</v>
      </c>
      <c r="G2" s="32" t="s">
        <v>21</v>
      </c>
      <c r="H2" s="32" t="s">
        <v>22</v>
      </c>
      <c r="I2" s="127" t="s">
        <v>23</v>
      </c>
      <c r="J2" s="127" t="s">
        <v>24</v>
      </c>
      <c r="K2" s="127" t="s">
        <v>25</v>
      </c>
      <c r="L2" s="127" t="s">
        <v>26</v>
      </c>
      <c r="M2" s="130" t="s">
        <v>23</v>
      </c>
      <c r="N2" s="130" t="s">
        <v>24</v>
      </c>
      <c r="O2" s="130" t="s">
        <v>25</v>
      </c>
      <c r="P2" s="130" t="s">
        <v>26</v>
      </c>
      <c r="Q2" s="127" t="s">
        <v>23</v>
      </c>
      <c r="R2" s="127" t="s">
        <v>24</v>
      </c>
      <c r="S2" s="127" t="s">
        <v>25</v>
      </c>
      <c r="T2" s="127" t="s">
        <v>26</v>
      </c>
      <c r="U2" s="130" t="s">
        <v>23</v>
      </c>
      <c r="V2" s="130" t="s">
        <v>24</v>
      </c>
      <c r="W2" s="130" t="s">
        <v>25</v>
      </c>
      <c r="X2" s="130" t="s">
        <v>26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</row>
    <row r="3" customFormat="1" ht="14" customHeight="1" spans="1:121">
      <c r="A3" s="108" t="s">
        <v>76</v>
      </c>
      <c r="B3" s="109" t="s">
        <v>77</v>
      </c>
      <c r="C3" s="110" t="s">
        <v>78</v>
      </c>
      <c r="D3" s="111" t="s">
        <v>79</v>
      </c>
      <c r="E3" s="110" t="s">
        <v>80</v>
      </c>
      <c r="F3" s="123">
        <v>336</v>
      </c>
      <c r="G3" s="123">
        <v>6</v>
      </c>
      <c r="H3" s="123">
        <v>56</v>
      </c>
      <c r="I3" s="128">
        <v>477.81</v>
      </c>
      <c r="J3" s="128">
        <v>490.84</v>
      </c>
      <c r="K3" s="128">
        <v>512.56</v>
      </c>
      <c r="L3" s="128">
        <v>556</v>
      </c>
      <c r="M3" s="131">
        <v>405.14</v>
      </c>
      <c r="N3" s="131">
        <v>416.18</v>
      </c>
      <c r="O3" s="131">
        <v>434.6</v>
      </c>
      <c r="P3" s="131">
        <v>471.43</v>
      </c>
      <c r="Q3" s="128">
        <v>514.99</v>
      </c>
      <c r="R3" s="128">
        <v>529.03</v>
      </c>
      <c r="S3" s="128">
        <v>552.44</v>
      </c>
      <c r="T3" s="128">
        <v>599.26</v>
      </c>
      <c r="U3" s="131">
        <v>436.66</v>
      </c>
      <c r="V3" s="131">
        <v>448.57</v>
      </c>
      <c r="W3" s="131">
        <v>468.42</v>
      </c>
      <c r="X3" s="131">
        <v>508.11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</row>
    <row r="4" customFormat="1" spans="1:121">
      <c r="A4" s="112"/>
      <c r="B4" s="113"/>
      <c r="C4" s="110" t="s">
        <v>81</v>
      </c>
      <c r="D4" s="111" t="s">
        <v>82</v>
      </c>
      <c r="E4" s="110" t="s">
        <v>83</v>
      </c>
      <c r="F4" s="123">
        <v>336</v>
      </c>
      <c r="G4" s="123">
        <v>6</v>
      </c>
      <c r="H4" s="123">
        <v>56</v>
      </c>
      <c r="I4" s="128">
        <v>525.58</v>
      </c>
      <c r="J4" s="128">
        <v>539.91</v>
      </c>
      <c r="K4" s="128">
        <v>563.8</v>
      </c>
      <c r="L4" s="128">
        <v>611.58</v>
      </c>
      <c r="M4" s="131">
        <v>445.64</v>
      </c>
      <c r="N4" s="131">
        <v>457.79</v>
      </c>
      <c r="O4" s="131">
        <v>478.05</v>
      </c>
      <c r="P4" s="131">
        <v>518.56</v>
      </c>
      <c r="Q4" s="128">
        <v>564.17</v>
      </c>
      <c r="R4" s="128">
        <v>579.56</v>
      </c>
      <c r="S4" s="128">
        <v>605.2</v>
      </c>
      <c r="T4" s="128">
        <v>656.49</v>
      </c>
      <c r="U4" s="131">
        <v>478.36</v>
      </c>
      <c r="V4" s="131">
        <v>491.41</v>
      </c>
      <c r="W4" s="131">
        <v>513.15</v>
      </c>
      <c r="X4" s="131">
        <v>556.64</v>
      </c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</row>
    <row r="5" customFormat="1" spans="1:121">
      <c r="A5" s="112"/>
      <c r="B5" s="113"/>
      <c r="C5" s="110" t="s">
        <v>84</v>
      </c>
      <c r="D5" s="111" t="s">
        <v>85</v>
      </c>
      <c r="E5" s="110" t="s">
        <v>86</v>
      </c>
      <c r="F5" s="123">
        <v>336</v>
      </c>
      <c r="G5" s="123">
        <v>6</v>
      </c>
      <c r="H5" s="123">
        <v>56</v>
      </c>
      <c r="I5" s="128">
        <v>549.96</v>
      </c>
      <c r="J5" s="128">
        <v>564.96</v>
      </c>
      <c r="K5" s="128">
        <v>589.95</v>
      </c>
      <c r="L5" s="128">
        <v>639.95</v>
      </c>
      <c r="M5" s="131">
        <v>466.31</v>
      </c>
      <c r="N5" s="131">
        <v>479.03</v>
      </c>
      <c r="O5" s="131">
        <v>500.22</v>
      </c>
      <c r="P5" s="131">
        <v>542.61</v>
      </c>
      <c r="Q5" s="128">
        <v>589.27</v>
      </c>
      <c r="R5" s="128">
        <v>605.34</v>
      </c>
      <c r="S5" s="128">
        <v>632.13</v>
      </c>
      <c r="T5" s="128">
        <v>685.7</v>
      </c>
      <c r="U5" s="131">
        <v>499.64</v>
      </c>
      <c r="V5" s="131">
        <v>513.27</v>
      </c>
      <c r="W5" s="131">
        <v>535.98</v>
      </c>
      <c r="X5" s="131">
        <v>581.4</v>
      </c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</row>
    <row r="6" customFormat="1" spans="1:121">
      <c r="A6" s="112"/>
      <c r="B6" s="113"/>
      <c r="C6" s="110" t="s">
        <v>87</v>
      </c>
      <c r="D6" s="111" t="s">
        <v>88</v>
      </c>
      <c r="E6" s="110" t="s">
        <v>89</v>
      </c>
      <c r="F6" s="123">
        <v>336</v>
      </c>
      <c r="G6" s="123">
        <v>6</v>
      </c>
      <c r="H6" s="123">
        <v>56</v>
      </c>
      <c r="I6" s="128">
        <v>570.25</v>
      </c>
      <c r="J6" s="128">
        <v>585.8</v>
      </c>
      <c r="K6" s="128">
        <v>611.72</v>
      </c>
      <c r="L6" s="128">
        <v>663.56</v>
      </c>
      <c r="M6" s="131">
        <v>483.51</v>
      </c>
      <c r="N6" s="131">
        <v>496.7</v>
      </c>
      <c r="O6" s="131">
        <v>518.68</v>
      </c>
      <c r="P6" s="131">
        <v>562.63</v>
      </c>
      <c r="Q6" s="128">
        <v>610.17</v>
      </c>
      <c r="R6" s="128">
        <v>626.81</v>
      </c>
      <c r="S6" s="128">
        <v>654.54</v>
      </c>
      <c r="T6" s="128">
        <v>710.01</v>
      </c>
      <c r="U6" s="131">
        <v>517.36</v>
      </c>
      <c r="V6" s="131">
        <v>531.47</v>
      </c>
      <c r="W6" s="131">
        <v>554.99</v>
      </c>
      <c r="X6" s="131">
        <v>602.02</v>
      </c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</row>
    <row r="7" customFormat="1" spans="1:121">
      <c r="A7" s="112"/>
      <c r="B7" s="113"/>
      <c r="C7" s="110" t="s">
        <v>90</v>
      </c>
      <c r="D7" s="111" t="s">
        <v>91</v>
      </c>
      <c r="E7" s="110" t="s">
        <v>92</v>
      </c>
      <c r="F7" s="123">
        <v>384</v>
      </c>
      <c r="G7" s="123">
        <v>12</v>
      </c>
      <c r="H7" s="123">
        <v>32</v>
      </c>
      <c r="I7" s="128">
        <v>737.99</v>
      </c>
      <c r="J7" s="128">
        <v>758.12</v>
      </c>
      <c r="K7" s="128">
        <v>791.67</v>
      </c>
      <c r="L7" s="128">
        <v>858.76</v>
      </c>
      <c r="M7" s="131">
        <v>625.74</v>
      </c>
      <c r="N7" s="131">
        <v>642.81</v>
      </c>
      <c r="O7" s="131">
        <v>671.25</v>
      </c>
      <c r="P7" s="131">
        <v>728.14</v>
      </c>
      <c r="Q7" s="128">
        <v>777.97</v>
      </c>
      <c r="R7" s="128">
        <v>799.18</v>
      </c>
      <c r="S7" s="128">
        <v>834.55</v>
      </c>
      <c r="T7" s="128">
        <v>905.27</v>
      </c>
      <c r="U7" s="131">
        <v>659.64</v>
      </c>
      <c r="V7" s="131">
        <v>677.63</v>
      </c>
      <c r="W7" s="131">
        <v>707.61</v>
      </c>
      <c r="X7" s="131">
        <v>767.58</v>
      </c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</row>
    <row r="8" customFormat="1" spans="1:121">
      <c r="A8" s="112"/>
      <c r="B8" s="113"/>
      <c r="C8" s="110" t="s">
        <v>93</v>
      </c>
      <c r="D8" s="111" t="s">
        <v>94</v>
      </c>
      <c r="E8" s="110" t="s">
        <v>95</v>
      </c>
      <c r="F8" s="123">
        <v>192</v>
      </c>
      <c r="G8" s="123">
        <v>6</v>
      </c>
      <c r="H8" s="123">
        <v>32</v>
      </c>
      <c r="I8" s="128">
        <v>846.1</v>
      </c>
      <c r="J8" s="128">
        <v>869.18</v>
      </c>
      <c r="K8" s="128">
        <v>907.64</v>
      </c>
      <c r="L8" s="128">
        <v>984.55</v>
      </c>
      <c r="M8" s="131">
        <v>717.41</v>
      </c>
      <c r="N8" s="131">
        <v>736.98</v>
      </c>
      <c r="O8" s="131">
        <v>769.58</v>
      </c>
      <c r="P8" s="131">
        <v>834.8</v>
      </c>
      <c r="Q8" s="128">
        <v>907.21</v>
      </c>
      <c r="R8" s="128">
        <v>931.95</v>
      </c>
      <c r="S8" s="128">
        <v>973.19</v>
      </c>
      <c r="T8" s="128">
        <v>1055.66</v>
      </c>
      <c r="U8" s="131">
        <v>769.22</v>
      </c>
      <c r="V8" s="131">
        <v>790.2</v>
      </c>
      <c r="W8" s="131">
        <v>825.17</v>
      </c>
      <c r="X8" s="131">
        <v>895.1</v>
      </c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</row>
    <row r="9" customFormat="1" spans="1:121">
      <c r="A9" s="112"/>
      <c r="B9" s="114"/>
      <c r="C9" s="110" t="s">
        <v>96</v>
      </c>
      <c r="D9" s="111" t="s">
        <v>97</v>
      </c>
      <c r="E9" s="110" t="s">
        <v>98</v>
      </c>
      <c r="F9" s="123">
        <v>264</v>
      </c>
      <c r="G9" s="123">
        <v>6</v>
      </c>
      <c r="H9" s="123">
        <v>44</v>
      </c>
      <c r="I9" s="128">
        <v>876.52</v>
      </c>
      <c r="J9" s="128">
        <v>900.43</v>
      </c>
      <c r="K9" s="128">
        <v>940.27</v>
      </c>
      <c r="L9" s="128">
        <v>1019.95</v>
      </c>
      <c r="M9" s="131">
        <v>743.2</v>
      </c>
      <c r="N9" s="131">
        <v>763.47</v>
      </c>
      <c r="O9" s="131">
        <v>797.26</v>
      </c>
      <c r="P9" s="131">
        <v>864.82</v>
      </c>
      <c r="Q9" s="128">
        <v>930.24</v>
      </c>
      <c r="R9" s="128">
        <v>955.61</v>
      </c>
      <c r="S9" s="128">
        <v>997.9</v>
      </c>
      <c r="T9" s="128">
        <v>1082.46</v>
      </c>
      <c r="U9" s="131">
        <v>788.75</v>
      </c>
      <c r="V9" s="131">
        <v>810.26</v>
      </c>
      <c r="W9" s="131">
        <v>846.12</v>
      </c>
      <c r="X9" s="131">
        <v>917.82</v>
      </c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</row>
    <row r="10" customFormat="1" ht="14" customHeight="1" spans="1:121">
      <c r="A10" s="112"/>
      <c r="B10" s="109" t="s">
        <v>99</v>
      </c>
      <c r="C10" s="110" t="s">
        <v>100</v>
      </c>
      <c r="D10" s="111" t="s">
        <v>101</v>
      </c>
      <c r="E10" s="110" t="s">
        <v>89</v>
      </c>
      <c r="F10" s="124">
        <v>336</v>
      </c>
      <c r="G10" s="123">
        <v>6</v>
      </c>
      <c r="H10" s="123">
        <v>56</v>
      </c>
      <c r="I10" s="128">
        <v>1227.47</v>
      </c>
      <c r="J10" s="128">
        <v>1260.95</v>
      </c>
      <c r="K10" s="128">
        <v>1316.74</v>
      </c>
      <c r="L10" s="128">
        <v>1428.33</v>
      </c>
      <c r="M10" s="131">
        <v>1040.77</v>
      </c>
      <c r="N10" s="131">
        <v>1069.16</v>
      </c>
      <c r="O10" s="131">
        <v>1116.46</v>
      </c>
      <c r="P10" s="131">
        <v>1211.08</v>
      </c>
      <c r="Q10" s="128">
        <v>1286.84</v>
      </c>
      <c r="R10" s="128">
        <v>1321.94</v>
      </c>
      <c r="S10" s="128">
        <v>1380.43</v>
      </c>
      <c r="T10" s="128">
        <v>1497.41</v>
      </c>
      <c r="U10" s="131">
        <v>1091.11</v>
      </c>
      <c r="V10" s="131">
        <v>1120.87</v>
      </c>
      <c r="W10" s="131">
        <v>1170.47</v>
      </c>
      <c r="X10" s="131">
        <v>1269.66</v>
      </c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</row>
    <row r="11" customFormat="1" spans="1:121">
      <c r="A11" s="112"/>
      <c r="B11" s="113"/>
      <c r="C11" s="110" t="s">
        <v>102</v>
      </c>
      <c r="D11" s="111" t="s">
        <v>103</v>
      </c>
      <c r="E11" s="110" t="s">
        <v>92</v>
      </c>
      <c r="F11" s="124">
        <v>336</v>
      </c>
      <c r="G11" s="123">
        <v>6</v>
      </c>
      <c r="H11" s="123">
        <v>56</v>
      </c>
      <c r="I11" s="128">
        <v>1250.3</v>
      </c>
      <c r="J11" s="128">
        <v>1284.4</v>
      </c>
      <c r="K11" s="128">
        <v>1341.23</v>
      </c>
      <c r="L11" s="128">
        <v>1454.89</v>
      </c>
      <c r="M11" s="131">
        <v>1060.13</v>
      </c>
      <c r="N11" s="131">
        <v>1089.04</v>
      </c>
      <c r="O11" s="131">
        <v>1137.23</v>
      </c>
      <c r="P11" s="131">
        <v>1233.6</v>
      </c>
      <c r="Q11" s="128">
        <v>1310.34</v>
      </c>
      <c r="R11" s="128">
        <v>1346.08</v>
      </c>
      <c r="S11" s="128">
        <v>1405.64</v>
      </c>
      <c r="T11" s="128">
        <v>1524.76</v>
      </c>
      <c r="U11" s="131">
        <v>1111.04</v>
      </c>
      <c r="V11" s="131">
        <v>1141.34</v>
      </c>
      <c r="W11" s="131">
        <v>1191.84</v>
      </c>
      <c r="X11" s="131">
        <v>1292.85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</row>
    <row r="12" customFormat="1" spans="1:121">
      <c r="A12" s="112"/>
      <c r="B12" s="113"/>
      <c r="C12" s="110" t="s">
        <v>104</v>
      </c>
      <c r="D12" s="111" t="s">
        <v>105</v>
      </c>
      <c r="E12" s="110" t="s">
        <v>95</v>
      </c>
      <c r="F12" s="123">
        <v>336</v>
      </c>
      <c r="G12" s="123">
        <v>6</v>
      </c>
      <c r="H12" s="123">
        <v>56</v>
      </c>
      <c r="I12" s="128">
        <v>1298.63</v>
      </c>
      <c r="J12" s="128">
        <v>1334.05</v>
      </c>
      <c r="K12" s="128">
        <v>1393.08</v>
      </c>
      <c r="L12" s="128">
        <v>1511.14</v>
      </c>
      <c r="M12" s="131">
        <v>1101.11</v>
      </c>
      <c r="N12" s="131">
        <v>1131.14</v>
      </c>
      <c r="O12" s="131">
        <v>1181.19</v>
      </c>
      <c r="P12" s="131">
        <v>1281.29</v>
      </c>
      <c r="Q12" s="128">
        <v>1360.11</v>
      </c>
      <c r="R12" s="128">
        <v>1397.2</v>
      </c>
      <c r="S12" s="128">
        <v>1459.03</v>
      </c>
      <c r="T12" s="128">
        <v>1582.67</v>
      </c>
      <c r="U12" s="131">
        <v>1153.24</v>
      </c>
      <c r="V12" s="131">
        <v>1184.69</v>
      </c>
      <c r="W12" s="131">
        <v>1237.11</v>
      </c>
      <c r="X12" s="131">
        <v>1341.95</v>
      </c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</row>
    <row r="13" customFormat="1" spans="1:121">
      <c r="A13" s="112"/>
      <c r="B13" s="113"/>
      <c r="C13" s="110" t="s">
        <v>106</v>
      </c>
      <c r="D13" s="111" t="s">
        <v>107</v>
      </c>
      <c r="E13" s="110" t="s">
        <v>98</v>
      </c>
      <c r="F13" s="123">
        <v>336</v>
      </c>
      <c r="G13" s="123">
        <v>6</v>
      </c>
      <c r="H13" s="123">
        <v>56</v>
      </c>
      <c r="I13" s="128">
        <v>1384.45</v>
      </c>
      <c r="J13" s="128">
        <v>1422.21</v>
      </c>
      <c r="K13" s="128">
        <v>1485.14</v>
      </c>
      <c r="L13" s="128">
        <v>1610.99</v>
      </c>
      <c r="M13" s="131">
        <v>1173.87</v>
      </c>
      <c r="N13" s="131">
        <v>1205.89</v>
      </c>
      <c r="O13" s="131">
        <v>1259.25</v>
      </c>
      <c r="P13" s="131">
        <v>1365.96</v>
      </c>
      <c r="Q13" s="128">
        <v>1448.47</v>
      </c>
      <c r="R13" s="128">
        <v>1487.97</v>
      </c>
      <c r="S13" s="128">
        <v>1553.81</v>
      </c>
      <c r="T13" s="128">
        <v>1685.49</v>
      </c>
      <c r="U13" s="131">
        <v>1228.15</v>
      </c>
      <c r="V13" s="131">
        <v>1261.65</v>
      </c>
      <c r="W13" s="131">
        <v>1317.47</v>
      </c>
      <c r="X13" s="131">
        <v>1429.12</v>
      </c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</row>
    <row r="14" customFormat="1" spans="1:121">
      <c r="A14" s="112"/>
      <c r="B14" s="113"/>
      <c r="C14" s="110" t="s">
        <v>108</v>
      </c>
      <c r="D14" s="111" t="s">
        <v>109</v>
      </c>
      <c r="E14" s="110" t="s">
        <v>110</v>
      </c>
      <c r="F14" s="123">
        <v>336</v>
      </c>
      <c r="G14" s="123">
        <v>6</v>
      </c>
      <c r="H14" s="123">
        <v>56</v>
      </c>
      <c r="I14" s="128">
        <v>1500.7</v>
      </c>
      <c r="J14" s="128">
        <v>1541.63</v>
      </c>
      <c r="K14" s="128">
        <v>1609.84</v>
      </c>
      <c r="L14" s="128">
        <v>1746.27</v>
      </c>
      <c r="M14" s="131">
        <v>1272.45</v>
      </c>
      <c r="N14" s="131">
        <v>1307.15</v>
      </c>
      <c r="O14" s="131">
        <v>1364.99</v>
      </c>
      <c r="P14" s="131">
        <v>1480.66</v>
      </c>
      <c r="Q14" s="128">
        <v>1568.16</v>
      </c>
      <c r="R14" s="128">
        <v>1610.93</v>
      </c>
      <c r="S14" s="128">
        <v>1682.21</v>
      </c>
      <c r="T14" s="128">
        <v>1824.77</v>
      </c>
      <c r="U14" s="131">
        <v>1329.64</v>
      </c>
      <c r="V14" s="131">
        <v>1365.91</v>
      </c>
      <c r="W14" s="131">
        <v>1426.34</v>
      </c>
      <c r="X14" s="131">
        <v>1547.22</v>
      </c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</row>
    <row r="15" customFormat="1" spans="1:121">
      <c r="A15" s="112"/>
      <c r="B15" s="114"/>
      <c r="C15" s="110" t="s">
        <v>111</v>
      </c>
      <c r="D15" s="111" t="s">
        <v>112</v>
      </c>
      <c r="E15" s="110" t="s">
        <v>113</v>
      </c>
      <c r="F15" s="124">
        <v>168</v>
      </c>
      <c r="G15" s="123">
        <v>4</v>
      </c>
      <c r="H15" s="123">
        <v>42</v>
      </c>
      <c r="I15" s="128">
        <v>1614.11</v>
      </c>
      <c r="J15" s="128">
        <v>1658.13</v>
      </c>
      <c r="K15" s="128">
        <v>1731.5</v>
      </c>
      <c r="L15" s="128">
        <v>1878.24</v>
      </c>
      <c r="M15" s="131">
        <v>1368.6</v>
      </c>
      <c r="N15" s="131">
        <v>1405.93</v>
      </c>
      <c r="O15" s="131">
        <v>1468.14</v>
      </c>
      <c r="P15" s="131">
        <v>1592.56</v>
      </c>
      <c r="Q15" s="128">
        <v>1705.03</v>
      </c>
      <c r="R15" s="128">
        <v>1751.53</v>
      </c>
      <c r="S15" s="128">
        <v>1829.03</v>
      </c>
      <c r="T15" s="128">
        <v>1984.04</v>
      </c>
      <c r="U15" s="131">
        <v>1445.7</v>
      </c>
      <c r="V15" s="131">
        <v>1485.12</v>
      </c>
      <c r="W15" s="131">
        <v>1550.84</v>
      </c>
      <c r="X15" s="131">
        <v>1682.26</v>
      </c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</row>
    <row r="16" customFormat="1" ht="14" customHeight="1" spans="1:121">
      <c r="A16" s="112"/>
      <c r="B16" s="109" t="s">
        <v>114</v>
      </c>
      <c r="C16" s="110" t="s">
        <v>115</v>
      </c>
      <c r="D16" s="111" t="s">
        <v>116</v>
      </c>
      <c r="E16" s="110" t="s">
        <v>117</v>
      </c>
      <c r="F16" s="123">
        <v>384</v>
      </c>
      <c r="G16" s="123">
        <v>12</v>
      </c>
      <c r="H16" s="123">
        <v>32</v>
      </c>
      <c r="I16" s="128">
        <v>859.63</v>
      </c>
      <c r="J16" s="128">
        <v>883.08</v>
      </c>
      <c r="K16" s="128">
        <v>922.15</v>
      </c>
      <c r="L16" s="128">
        <v>1000.3</v>
      </c>
      <c r="M16" s="131">
        <v>728.88</v>
      </c>
      <c r="N16" s="131">
        <v>748.76</v>
      </c>
      <c r="O16" s="131">
        <v>781.89</v>
      </c>
      <c r="P16" s="131">
        <v>848.15</v>
      </c>
      <c r="Q16" s="128">
        <v>927.6</v>
      </c>
      <c r="R16" s="128">
        <v>952.9</v>
      </c>
      <c r="S16" s="128">
        <v>995.06</v>
      </c>
      <c r="T16" s="128">
        <v>1079.39</v>
      </c>
      <c r="U16" s="131">
        <v>786.51</v>
      </c>
      <c r="V16" s="131">
        <v>807.96</v>
      </c>
      <c r="W16" s="131">
        <v>843.72</v>
      </c>
      <c r="X16" s="131">
        <v>915.22</v>
      </c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</row>
    <row r="17" customFormat="1" spans="1:121">
      <c r="A17" s="112"/>
      <c r="B17" s="113"/>
      <c r="C17" s="110" t="s">
        <v>118</v>
      </c>
      <c r="D17" s="111"/>
      <c r="E17" s="110" t="s">
        <v>70</v>
      </c>
      <c r="F17" s="123">
        <v>192</v>
      </c>
      <c r="G17" s="123">
        <v>6</v>
      </c>
      <c r="H17" s="123">
        <v>32</v>
      </c>
      <c r="I17" s="128">
        <v>1719.26</v>
      </c>
      <c r="J17" s="128">
        <v>1766.15</v>
      </c>
      <c r="K17" s="128">
        <v>1844.3</v>
      </c>
      <c r="L17" s="128">
        <v>2000.6</v>
      </c>
      <c r="M17" s="131">
        <v>1457.76</v>
      </c>
      <c r="N17" s="131">
        <v>1497.52</v>
      </c>
      <c r="O17" s="131">
        <v>1563.78</v>
      </c>
      <c r="P17" s="131">
        <v>1696.31</v>
      </c>
      <c r="Q17" s="128">
        <v>1855.01</v>
      </c>
      <c r="R17" s="128">
        <v>1905.6</v>
      </c>
      <c r="S17" s="128">
        <v>1989.92</v>
      </c>
      <c r="T17" s="128">
        <v>2158.56</v>
      </c>
      <c r="U17" s="131">
        <v>1572.86</v>
      </c>
      <c r="V17" s="131">
        <v>1615.76</v>
      </c>
      <c r="W17" s="131">
        <v>1687.25</v>
      </c>
      <c r="X17" s="131">
        <v>1830.24</v>
      </c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</row>
    <row r="18" customFormat="1" spans="1:121">
      <c r="A18" s="112"/>
      <c r="B18" s="114"/>
      <c r="C18" s="110" t="s">
        <v>115</v>
      </c>
      <c r="D18" s="111" t="s">
        <v>116</v>
      </c>
      <c r="E18" s="110" t="s">
        <v>119</v>
      </c>
      <c r="F18" s="123">
        <v>384</v>
      </c>
      <c r="G18" s="123">
        <v>12</v>
      </c>
      <c r="H18" s="123">
        <v>32</v>
      </c>
      <c r="I18" s="128">
        <v>859.63</v>
      </c>
      <c r="J18" s="128">
        <v>883.08</v>
      </c>
      <c r="K18" s="128">
        <v>922.15</v>
      </c>
      <c r="L18" s="128">
        <v>1000.3</v>
      </c>
      <c r="M18" s="131">
        <v>728.88</v>
      </c>
      <c r="N18" s="131">
        <v>748.76</v>
      </c>
      <c r="O18" s="131">
        <v>781.89</v>
      </c>
      <c r="P18" s="131">
        <v>848.15</v>
      </c>
      <c r="Q18" s="128">
        <v>927.6</v>
      </c>
      <c r="R18" s="128">
        <v>952.9</v>
      </c>
      <c r="S18" s="128">
        <v>995.06</v>
      </c>
      <c r="T18" s="128">
        <v>1079.39</v>
      </c>
      <c r="U18" s="131">
        <v>786.51</v>
      </c>
      <c r="V18" s="131">
        <v>807.96</v>
      </c>
      <c r="W18" s="131">
        <v>843.72</v>
      </c>
      <c r="X18" s="131">
        <v>915.22</v>
      </c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</row>
    <row r="19" customFormat="1" ht="14" customHeight="1" spans="1:121">
      <c r="A19" s="112"/>
      <c r="B19" s="109" t="s">
        <v>120</v>
      </c>
      <c r="C19" s="110" t="s">
        <v>121</v>
      </c>
      <c r="D19" s="111" t="s">
        <v>122</v>
      </c>
      <c r="E19" s="110" t="s">
        <v>117</v>
      </c>
      <c r="F19" s="123">
        <v>384</v>
      </c>
      <c r="G19" s="123">
        <v>12</v>
      </c>
      <c r="H19" s="123">
        <v>32</v>
      </c>
      <c r="I19" s="128">
        <v>500.18</v>
      </c>
      <c r="J19" s="128">
        <v>513.82</v>
      </c>
      <c r="K19" s="128">
        <v>536.55</v>
      </c>
      <c r="L19" s="128">
        <v>582.03</v>
      </c>
      <c r="M19" s="131">
        <v>424.1</v>
      </c>
      <c r="N19" s="131">
        <v>435.67</v>
      </c>
      <c r="O19" s="131">
        <v>454.94</v>
      </c>
      <c r="P19" s="131">
        <v>493.5</v>
      </c>
      <c r="Q19" s="128">
        <v>547.52</v>
      </c>
      <c r="R19" s="128">
        <v>562.45</v>
      </c>
      <c r="S19" s="128">
        <v>587.34</v>
      </c>
      <c r="T19" s="128">
        <v>637.11</v>
      </c>
      <c r="U19" s="131">
        <v>464.24</v>
      </c>
      <c r="V19" s="131">
        <v>476.9</v>
      </c>
      <c r="W19" s="131">
        <v>498</v>
      </c>
      <c r="X19" s="131">
        <v>540.2</v>
      </c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</row>
    <row r="20" customFormat="1" spans="1:121">
      <c r="A20" s="112"/>
      <c r="B20" s="113"/>
      <c r="C20" s="110" t="s">
        <v>123</v>
      </c>
      <c r="D20" s="111"/>
      <c r="E20" s="110" t="s">
        <v>70</v>
      </c>
      <c r="F20" s="123">
        <v>192</v>
      </c>
      <c r="G20" s="123">
        <v>6</v>
      </c>
      <c r="H20" s="123">
        <v>32</v>
      </c>
      <c r="I20" s="128">
        <v>1000.36</v>
      </c>
      <c r="J20" s="128">
        <v>1027.64</v>
      </c>
      <c r="K20" s="128">
        <v>1073.11</v>
      </c>
      <c r="L20" s="128">
        <v>1164.05</v>
      </c>
      <c r="M20" s="131">
        <v>848.2</v>
      </c>
      <c r="N20" s="131">
        <v>871.33</v>
      </c>
      <c r="O20" s="131">
        <v>909.89</v>
      </c>
      <c r="P20" s="131">
        <v>987</v>
      </c>
      <c r="Q20" s="128">
        <v>1094.84</v>
      </c>
      <c r="R20" s="128">
        <v>1124.7</v>
      </c>
      <c r="S20" s="128">
        <v>1174.46</v>
      </c>
      <c r="T20" s="128">
        <v>1273.99</v>
      </c>
      <c r="U20" s="131">
        <v>928.31</v>
      </c>
      <c r="V20" s="131">
        <v>953.63</v>
      </c>
      <c r="W20" s="131">
        <v>995.83</v>
      </c>
      <c r="X20" s="131">
        <v>1080.22</v>
      </c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</row>
    <row r="21" customFormat="1" spans="1:121">
      <c r="A21" s="112"/>
      <c r="B21" s="114"/>
      <c r="C21" s="110" t="s">
        <v>124</v>
      </c>
      <c r="D21" s="111"/>
      <c r="E21" s="110" t="s">
        <v>125</v>
      </c>
      <c r="F21" s="123">
        <v>128</v>
      </c>
      <c r="G21" s="123">
        <v>4</v>
      </c>
      <c r="H21" s="123">
        <v>32</v>
      </c>
      <c r="I21" s="128">
        <v>1405.24</v>
      </c>
      <c r="J21" s="128">
        <v>1443.57</v>
      </c>
      <c r="K21" s="128">
        <v>1507.44</v>
      </c>
      <c r="L21" s="128">
        <v>1635.19</v>
      </c>
      <c r="M21" s="131">
        <v>1191.5</v>
      </c>
      <c r="N21" s="131">
        <v>1224</v>
      </c>
      <c r="O21" s="131">
        <v>1278.16</v>
      </c>
      <c r="P21" s="131">
        <v>1386.48</v>
      </c>
      <c r="Q21" s="128">
        <v>1541.4</v>
      </c>
      <c r="R21" s="128">
        <v>1583.44</v>
      </c>
      <c r="S21" s="128">
        <v>1653.5</v>
      </c>
      <c r="T21" s="128">
        <v>1793.63</v>
      </c>
      <c r="U21" s="131">
        <v>1306.95</v>
      </c>
      <c r="V21" s="131">
        <v>1342.59</v>
      </c>
      <c r="W21" s="131">
        <v>1402</v>
      </c>
      <c r="X21" s="131">
        <v>1520.82</v>
      </c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</row>
    <row r="22" customFormat="1" ht="14" customHeight="1" spans="1:121">
      <c r="A22" s="112"/>
      <c r="B22" s="115" t="s">
        <v>126</v>
      </c>
      <c r="C22" s="110" t="s">
        <v>127</v>
      </c>
      <c r="D22" s="111" t="s">
        <v>128</v>
      </c>
      <c r="E22" s="110" t="s">
        <v>129</v>
      </c>
      <c r="F22" s="123">
        <v>168</v>
      </c>
      <c r="G22" s="123">
        <v>4</v>
      </c>
      <c r="H22" s="123">
        <v>42</v>
      </c>
      <c r="I22" s="128">
        <v>1760.66</v>
      </c>
      <c r="J22" s="128">
        <v>1808.68</v>
      </c>
      <c r="K22" s="128">
        <v>1888.71</v>
      </c>
      <c r="L22" s="128">
        <v>2048.77</v>
      </c>
      <c r="M22" s="131">
        <v>1492.86</v>
      </c>
      <c r="N22" s="131">
        <v>1533.58</v>
      </c>
      <c r="O22" s="131">
        <v>1601.44</v>
      </c>
      <c r="P22" s="131">
        <v>1737.15</v>
      </c>
      <c r="Q22" s="128">
        <v>1855.92</v>
      </c>
      <c r="R22" s="128">
        <v>1906.53</v>
      </c>
      <c r="S22" s="128">
        <v>1990.89</v>
      </c>
      <c r="T22" s="128">
        <v>2159.61</v>
      </c>
      <c r="U22" s="131">
        <v>1573.63</v>
      </c>
      <c r="V22" s="131">
        <v>1616.55</v>
      </c>
      <c r="W22" s="131">
        <v>1688.08</v>
      </c>
      <c r="X22" s="131">
        <v>1831.14</v>
      </c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5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</row>
    <row r="23" customFormat="1" spans="1:121">
      <c r="A23" s="112"/>
      <c r="B23" s="116"/>
      <c r="C23" s="110" t="s">
        <v>130</v>
      </c>
      <c r="D23" s="111" t="s">
        <v>131</v>
      </c>
      <c r="E23" s="110" t="s">
        <v>132</v>
      </c>
      <c r="F23" s="123">
        <v>160</v>
      </c>
      <c r="G23" s="123">
        <v>4</v>
      </c>
      <c r="H23" s="123">
        <v>40</v>
      </c>
      <c r="I23" s="128">
        <v>2117.49</v>
      </c>
      <c r="J23" s="128">
        <v>2175.24</v>
      </c>
      <c r="K23" s="128">
        <v>2271.49</v>
      </c>
      <c r="L23" s="128">
        <v>2463.99</v>
      </c>
      <c r="M23" s="131">
        <v>1795.42</v>
      </c>
      <c r="N23" s="131">
        <v>1844.39</v>
      </c>
      <c r="O23" s="131">
        <v>1926</v>
      </c>
      <c r="P23" s="131">
        <v>2089.22</v>
      </c>
      <c r="Q23" s="128">
        <v>2225.05</v>
      </c>
      <c r="R23" s="128">
        <v>2285.73</v>
      </c>
      <c r="S23" s="128">
        <v>2386.87</v>
      </c>
      <c r="T23" s="128">
        <v>2589.15</v>
      </c>
      <c r="U23" s="131">
        <v>1886.62</v>
      </c>
      <c r="V23" s="131">
        <v>1938.07</v>
      </c>
      <c r="W23" s="131">
        <v>2023.83</v>
      </c>
      <c r="X23" s="131">
        <v>2195.34</v>
      </c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</row>
    <row r="24" customFormat="1" spans="1:121">
      <c r="A24" s="112"/>
      <c r="B24" s="116"/>
      <c r="C24" s="110" t="s">
        <v>133</v>
      </c>
      <c r="D24" s="111" t="s">
        <v>134</v>
      </c>
      <c r="E24" s="110" t="s">
        <v>135</v>
      </c>
      <c r="F24" s="123">
        <v>160</v>
      </c>
      <c r="G24" s="123">
        <v>4</v>
      </c>
      <c r="H24" s="123">
        <v>40</v>
      </c>
      <c r="I24" s="128">
        <v>2230.79</v>
      </c>
      <c r="J24" s="128">
        <v>2291.63</v>
      </c>
      <c r="K24" s="128">
        <v>2393.03</v>
      </c>
      <c r="L24" s="128">
        <v>2595.82</v>
      </c>
      <c r="M24" s="131">
        <v>1891.48</v>
      </c>
      <c r="N24" s="131">
        <v>1943.07</v>
      </c>
      <c r="O24" s="131">
        <v>2029.05</v>
      </c>
      <c r="P24" s="131">
        <v>2201</v>
      </c>
      <c r="Q24" s="128">
        <v>2341.7</v>
      </c>
      <c r="R24" s="128">
        <v>2405.56</v>
      </c>
      <c r="S24" s="128">
        <v>2512</v>
      </c>
      <c r="T24" s="128">
        <v>2724.89</v>
      </c>
      <c r="U24" s="131">
        <v>1985.53</v>
      </c>
      <c r="V24" s="131">
        <v>2039.68</v>
      </c>
      <c r="W24" s="131">
        <v>2129.93</v>
      </c>
      <c r="X24" s="131">
        <v>2310.43</v>
      </c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</row>
    <row r="25" customFormat="1" spans="1:121">
      <c r="A25" s="112"/>
      <c r="B25" s="117"/>
      <c r="C25" s="118" t="s">
        <v>136</v>
      </c>
      <c r="D25" s="111" t="s">
        <v>137</v>
      </c>
      <c r="E25" s="110" t="s">
        <v>138</v>
      </c>
      <c r="F25" s="125">
        <v>96</v>
      </c>
      <c r="G25" s="125">
        <v>1</v>
      </c>
      <c r="H25" s="125">
        <v>96</v>
      </c>
      <c r="I25" s="128">
        <v>3136.71</v>
      </c>
      <c r="J25" s="128">
        <v>3222.26</v>
      </c>
      <c r="K25" s="128">
        <v>3364.83</v>
      </c>
      <c r="L25" s="128">
        <v>3649.99</v>
      </c>
      <c r="M25" s="131">
        <v>2659.62</v>
      </c>
      <c r="N25" s="131">
        <v>2732.15</v>
      </c>
      <c r="O25" s="131">
        <v>2853.04</v>
      </c>
      <c r="P25" s="131">
        <v>3094.83</v>
      </c>
      <c r="Q25" s="128">
        <v>3325.97</v>
      </c>
      <c r="R25" s="128">
        <v>3416.68</v>
      </c>
      <c r="S25" s="128">
        <v>3567.86</v>
      </c>
      <c r="T25" s="128">
        <v>3870.22</v>
      </c>
      <c r="U25" s="131">
        <v>2820.09</v>
      </c>
      <c r="V25" s="131">
        <v>2897</v>
      </c>
      <c r="W25" s="131">
        <v>3025.19</v>
      </c>
      <c r="X25" s="131">
        <v>3281.56</v>
      </c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</row>
    <row r="26" customFormat="1" ht="24" spans="1:121">
      <c r="A26" s="112"/>
      <c r="B26" s="119" t="s">
        <v>139</v>
      </c>
      <c r="C26" s="110" t="s">
        <v>140</v>
      </c>
      <c r="D26" s="111" t="s">
        <v>141</v>
      </c>
      <c r="E26" s="110" t="s">
        <v>142</v>
      </c>
      <c r="F26" s="123">
        <v>18</v>
      </c>
      <c r="G26" s="123">
        <v>1</v>
      </c>
      <c r="H26" s="123">
        <v>18</v>
      </c>
      <c r="I26" s="128">
        <v>18551.11</v>
      </c>
      <c r="J26" s="128">
        <v>19048.02</v>
      </c>
      <c r="K26" s="128">
        <v>19876.19</v>
      </c>
      <c r="L26" s="128">
        <v>21532.54</v>
      </c>
      <c r="M26" s="131">
        <v>15729.49</v>
      </c>
      <c r="N26" s="131">
        <v>16150.82</v>
      </c>
      <c r="O26" s="131">
        <v>16853.02</v>
      </c>
      <c r="P26" s="131">
        <v>18257.44</v>
      </c>
      <c r="Q26" s="128">
        <v>19988.08</v>
      </c>
      <c r="R26" s="128">
        <v>20523.48</v>
      </c>
      <c r="S26" s="128">
        <v>21415.8</v>
      </c>
      <c r="T26" s="128">
        <v>23200.45</v>
      </c>
      <c r="U26" s="131">
        <v>16947.89</v>
      </c>
      <c r="V26" s="131">
        <v>17401.86</v>
      </c>
      <c r="W26" s="131">
        <v>18158.46</v>
      </c>
      <c r="X26" s="131">
        <v>19671.66</v>
      </c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</row>
    <row r="27" customFormat="1" ht="14" customHeight="1" spans="1:121">
      <c r="A27" s="112"/>
      <c r="B27" s="109" t="s">
        <v>143</v>
      </c>
      <c r="C27" s="110" t="s">
        <v>144</v>
      </c>
      <c r="D27" s="111"/>
      <c r="E27" s="110" t="s">
        <v>145</v>
      </c>
      <c r="F27" s="124">
        <v>172</v>
      </c>
      <c r="G27" s="124">
        <v>2</v>
      </c>
      <c r="H27" s="123">
        <v>86</v>
      </c>
      <c r="I27" s="128">
        <v>1846.81</v>
      </c>
      <c r="J27" s="128">
        <v>1897.18</v>
      </c>
      <c r="K27" s="128">
        <v>1981.13</v>
      </c>
      <c r="L27" s="128">
        <v>2149.02</v>
      </c>
      <c r="M27" s="131">
        <v>1565.91</v>
      </c>
      <c r="N27" s="131">
        <v>1608.62</v>
      </c>
      <c r="O27" s="131">
        <v>1679.8</v>
      </c>
      <c r="P27" s="131">
        <v>1822.15</v>
      </c>
      <c r="Q27" s="128">
        <v>1952.02</v>
      </c>
      <c r="R27" s="128">
        <v>2005.26</v>
      </c>
      <c r="S27" s="128">
        <v>2093.99</v>
      </c>
      <c r="T27" s="128">
        <v>2271.44</v>
      </c>
      <c r="U27" s="131">
        <v>1655.12</v>
      </c>
      <c r="V27" s="131">
        <v>1700.26</v>
      </c>
      <c r="W27" s="131">
        <v>1775.49</v>
      </c>
      <c r="X27" s="131">
        <v>1925.96</v>
      </c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</row>
    <row r="28" customFormat="1" ht="14" customHeight="1" spans="1:121">
      <c r="A28" s="112"/>
      <c r="B28" s="113"/>
      <c r="C28" s="110" t="s">
        <v>146</v>
      </c>
      <c r="D28" s="111"/>
      <c r="E28" s="110" t="s">
        <v>138</v>
      </c>
      <c r="F28" s="124">
        <v>96</v>
      </c>
      <c r="G28" s="124">
        <v>1</v>
      </c>
      <c r="H28" s="123">
        <v>96</v>
      </c>
      <c r="I28" s="128">
        <v>2378.31</v>
      </c>
      <c r="J28" s="128">
        <v>2443.18</v>
      </c>
      <c r="K28" s="128">
        <v>2551.28</v>
      </c>
      <c r="L28" s="128">
        <v>2767.49</v>
      </c>
      <c r="M28" s="131">
        <v>2016.57</v>
      </c>
      <c r="N28" s="131">
        <v>2071.57</v>
      </c>
      <c r="O28" s="131">
        <v>2163.23</v>
      </c>
      <c r="P28" s="131">
        <v>2346.56</v>
      </c>
      <c r="Q28" s="128">
        <v>2542.53</v>
      </c>
      <c r="R28" s="128">
        <v>2611.87</v>
      </c>
      <c r="S28" s="128">
        <v>2727.44</v>
      </c>
      <c r="T28" s="128">
        <v>2958.58</v>
      </c>
      <c r="U28" s="131">
        <v>2155.81</v>
      </c>
      <c r="V28" s="131">
        <v>2214.6</v>
      </c>
      <c r="W28" s="131">
        <v>2312.6</v>
      </c>
      <c r="X28" s="131">
        <v>2508.58</v>
      </c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</row>
    <row r="29" customFormat="1" spans="1:121">
      <c r="A29" s="112"/>
      <c r="B29" s="113"/>
      <c r="C29" s="110" t="s">
        <v>147</v>
      </c>
      <c r="D29" s="111"/>
      <c r="E29" s="110" t="s">
        <v>148</v>
      </c>
      <c r="F29" s="124">
        <v>96</v>
      </c>
      <c r="G29" s="124">
        <v>1</v>
      </c>
      <c r="H29" s="123">
        <v>96</v>
      </c>
      <c r="I29" s="128">
        <v>2475.68</v>
      </c>
      <c r="J29" s="128">
        <v>2543.2</v>
      </c>
      <c r="K29" s="128">
        <v>2655.73</v>
      </c>
      <c r="L29" s="128">
        <v>2880.8</v>
      </c>
      <c r="M29" s="131">
        <v>2099.13</v>
      </c>
      <c r="N29" s="131">
        <v>2156.38</v>
      </c>
      <c r="O29" s="131">
        <v>2251.8</v>
      </c>
      <c r="P29" s="131">
        <v>2442.63</v>
      </c>
      <c r="Q29" s="128">
        <v>2642.78</v>
      </c>
      <c r="R29" s="128">
        <v>2714.86</v>
      </c>
      <c r="S29" s="128">
        <v>2834.98</v>
      </c>
      <c r="T29" s="128">
        <v>3075.24</v>
      </c>
      <c r="U29" s="131">
        <v>2240.81</v>
      </c>
      <c r="V29" s="131">
        <v>2301.93</v>
      </c>
      <c r="W29" s="131">
        <v>2403.78</v>
      </c>
      <c r="X29" s="131">
        <v>2607.49</v>
      </c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</row>
    <row r="30" customFormat="1" spans="1:121">
      <c r="A30" s="112"/>
      <c r="B30" s="114"/>
      <c r="C30" s="110" t="s">
        <v>149</v>
      </c>
      <c r="D30" s="111"/>
      <c r="E30" s="110" t="s">
        <v>150</v>
      </c>
      <c r="F30" s="124">
        <v>96</v>
      </c>
      <c r="G30" s="124">
        <v>1</v>
      </c>
      <c r="H30" s="123">
        <v>96</v>
      </c>
      <c r="I30" s="128">
        <v>2491.32</v>
      </c>
      <c r="J30" s="128">
        <v>2559.27</v>
      </c>
      <c r="K30" s="128">
        <v>2672.51</v>
      </c>
      <c r="L30" s="128">
        <v>2899</v>
      </c>
      <c r="M30" s="131">
        <v>2112.39</v>
      </c>
      <c r="N30" s="131">
        <v>2170.01</v>
      </c>
      <c r="O30" s="131">
        <v>2266.02</v>
      </c>
      <c r="P30" s="131">
        <v>2458.06</v>
      </c>
      <c r="Q30" s="128">
        <v>2664.07</v>
      </c>
      <c r="R30" s="128">
        <v>2736.73</v>
      </c>
      <c r="S30" s="128">
        <v>2857.83</v>
      </c>
      <c r="T30" s="128">
        <v>3100.01</v>
      </c>
      <c r="U30" s="131">
        <v>2258.87</v>
      </c>
      <c r="V30" s="131">
        <v>2320.47</v>
      </c>
      <c r="W30" s="131">
        <v>2423.15</v>
      </c>
      <c r="X30" s="131">
        <v>2628.5</v>
      </c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</row>
    <row r="31" customFormat="1" spans="1:121">
      <c r="A31" s="120"/>
      <c r="B31" s="121" t="s">
        <v>151</v>
      </c>
      <c r="C31" s="110" t="s">
        <v>152</v>
      </c>
      <c r="D31" s="111"/>
      <c r="E31" s="110" t="s">
        <v>153</v>
      </c>
      <c r="F31" s="124">
        <v>276</v>
      </c>
      <c r="G31" s="124">
        <v>6</v>
      </c>
      <c r="H31" s="123">
        <v>46</v>
      </c>
      <c r="I31" s="128">
        <v>537.53</v>
      </c>
      <c r="J31" s="128">
        <v>552.19</v>
      </c>
      <c r="K31" s="128">
        <v>576.62</v>
      </c>
      <c r="L31" s="128">
        <v>625.49</v>
      </c>
      <c r="M31" s="131">
        <v>455.77</v>
      </c>
      <c r="N31" s="131">
        <v>468.2</v>
      </c>
      <c r="O31" s="131">
        <v>488.92</v>
      </c>
      <c r="P31" s="131">
        <v>530.35</v>
      </c>
      <c r="Q31" s="128">
        <v>580.25</v>
      </c>
      <c r="R31" s="128">
        <v>596.08</v>
      </c>
      <c r="S31" s="128">
        <v>622.45</v>
      </c>
      <c r="T31" s="128">
        <v>675.2</v>
      </c>
      <c r="U31" s="131">
        <v>491.99</v>
      </c>
      <c r="V31" s="131">
        <v>505.41</v>
      </c>
      <c r="W31" s="131">
        <v>527.78</v>
      </c>
      <c r="X31" s="131">
        <v>572.5</v>
      </c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</row>
  </sheetData>
  <mergeCells count="13">
    <mergeCell ref="A1:E1"/>
    <mergeCell ref="F1:H1"/>
    <mergeCell ref="I1:L1"/>
    <mergeCell ref="M1:P1"/>
    <mergeCell ref="Q1:T1"/>
    <mergeCell ref="U1:X1"/>
    <mergeCell ref="A3:A31"/>
    <mergeCell ref="B3:B9"/>
    <mergeCell ref="B10:B15"/>
    <mergeCell ref="B16:B18"/>
    <mergeCell ref="B19:B21"/>
    <mergeCell ref="B22:B25"/>
    <mergeCell ref="B27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zoomScale="95" zoomScaleNormal="95" workbookViewId="0">
      <selection activeCell="E20" sqref="E20"/>
    </sheetView>
  </sheetViews>
  <sheetFormatPr defaultColWidth="9.14285714285714" defaultRowHeight="15.2"/>
  <cols>
    <col min="1" max="1" width="12.8303571428571" style="74" customWidth="1"/>
    <col min="2" max="2" width="26.5089285714286" style="74" customWidth="1"/>
    <col min="3" max="3" width="13.5803571428571" style="74" customWidth="1"/>
    <col min="4" max="4" width="19.7857142857143" style="74" customWidth="1"/>
    <col min="5" max="5" width="21.4285714285714" style="74" customWidth="1"/>
    <col min="6" max="6" width="15.0267857142857" style="74" customWidth="1"/>
    <col min="7" max="9" width="7.98214285714286" style="75" customWidth="1"/>
    <col min="10" max="13" width="10.7142857142857" style="76"/>
    <col min="14" max="17" width="12.8571428571429" style="77"/>
    <col min="18" max="21" width="10.7142857142857" style="76"/>
    <col min="22" max="25" width="12.8571428571429" style="77"/>
    <col min="26" max="16384" width="9.14285714285714" style="78"/>
  </cols>
  <sheetData>
    <row r="1" ht="27" customHeight="1" spans="1:25">
      <c r="A1" s="79" t="s">
        <v>9</v>
      </c>
      <c r="B1" s="80"/>
      <c r="C1" s="80"/>
      <c r="D1" s="80"/>
      <c r="E1" s="80"/>
      <c r="F1" s="92"/>
      <c r="G1" s="79" t="s">
        <v>154</v>
      </c>
      <c r="H1" s="80"/>
      <c r="I1" s="92"/>
      <c r="J1" s="96" t="s">
        <v>11</v>
      </c>
      <c r="K1" s="96"/>
      <c r="L1" s="96"/>
      <c r="M1" s="96"/>
      <c r="N1" s="99" t="s">
        <v>12</v>
      </c>
      <c r="O1" s="99"/>
      <c r="P1" s="99"/>
      <c r="Q1" s="99"/>
      <c r="R1" s="96" t="s">
        <v>13</v>
      </c>
      <c r="S1" s="96"/>
      <c r="T1" s="96"/>
      <c r="U1" s="96"/>
      <c r="V1" s="99" t="s">
        <v>14</v>
      </c>
      <c r="W1" s="99"/>
      <c r="X1" s="99"/>
      <c r="Y1" s="99"/>
    </row>
    <row r="2" ht="27" customHeight="1" spans="1:25">
      <c r="A2" s="81" t="s">
        <v>15</v>
      </c>
      <c r="B2" s="81" t="s">
        <v>16</v>
      </c>
      <c r="C2" s="81" t="s">
        <v>17</v>
      </c>
      <c r="D2" s="81" t="s">
        <v>18</v>
      </c>
      <c r="E2" s="81" t="s">
        <v>75</v>
      </c>
      <c r="F2" s="81" t="s">
        <v>19</v>
      </c>
      <c r="G2" s="93" t="s">
        <v>20</v>
      </c>
      <c r="H2" s="93" t="s">
        <v>21</v>
      </c>
      <c r="I2" s="93" t="s">
        <v>22</v>
      </c>
      <c r="J2" s="97" t="s">
        <v>23</v>
      </c>
      <c r="K2" s="97" t="s">
        <v>24</v>
      </c>
      <c r="L2" s="97" t="s">
        <v>25</v>
      </c>
      <c r="M2" s="97" t="s">
        <v>26</v>
      </c>
      <c r="N2" s="100" t="s">
        <v>23</v>
      </c>
      <c r="O2" s="100" t="s">
        <v>24</v>
      </c>
      <c r="P2" s="100" t="s">
        <v>25</v>
      </c>
      <c r="Q2" s="100" t="s">
        <v>26</v>
      </c>
      <c r="R2" s="97" t="s">
        <v>23</v>
      </c>
      <c r="S2" s="97" t="s">
        <v>24</v>
      </c>
      <c r="T2" s="97" t="s">
        <v>25</v>
      </c>
      <c r="U2" s="97" t="s">
        <v>26</v>
      </c>
      <c r="V2" s="100" t="s">
        <v>23</v>
      </c>
      <c r="W2" s="100" t="s">
        <v>24</v>
      </c>
      <c r="X2" s="100" t="s">
        <v>25</v>
      </c>
      <c r="Y2" s="100" t="s">
        <v>26</v>
      </c>
    </row>
    <row r="3" spans="1:25">
      <c r="A3" s="82" t="s">
        <v>27</v>
      </c>
      <c r="B3" s="83" t="s">
        <v>155</v>
      </c>
      <c r="C3" s="84" t="s">
        <v>29</v>
      </c>
      <c r="D3" s="84" t="s">
        <v>30</v>
      </c>
      <c r="E3" s="84" t="s">
        <v>30</v>
      </c>
      <c r="F3" s="82" t="s">
        <v>31</v>
      </c>
      <c r="G3" s="94">
        <v>672</v>
      </c>
      <c r="H3" s="94">
        <f t="shared" ref="H3:H12" si="0">G3/I3</f>
        <v>16</v>
      </c>
      <c r="I3" s="94">
        <f t="shared" ref="I3:I6" si="1">G3/16</f>
        <v>42</v>
      </c>
      <c r="J3" s="98">
        <v>532.95</v>
      </c>
      <c r="K3" s="98">
        <v>552.87</v>
      </c>
      <c r="L3" s="98">
        <v>572.8</v>
      </c>
      <c r="M3" s="98">
        <v>622.61</v>
      </c>
      <c r="N3" s="101">
        <v>454.45</v>
      </c>
      <c r="O3" s="101">
        <v>471.44</v>
      </c>
      <c r="P3" s="101">
        <v>488.42</v>
      </c>
      <c r="Q3" s="101">
        <v>530.9</v>
      </c>
      <c r="R3" s="98">
        <v>396.47</v>
      </c>
      <c r="S3" s="98">
        <v>411.29</v>
      </c>
      <c r="T3" s="98">
        <v>426.11</v>
      </c>
      <c r="U3" s="98">
        <v>463.17</v>
      </c>
      <c r="V3" s="101">
        <v>464.96</v>
      </c>
      <c r="W3" s="101">
        <v>482.34</v>
      </c>
      <c r="X3" s="101">
        <v>499.72</v>
      </c>
      <c r="Y3" s="101">
        <v>543.18</v>
      </c>
    </row>
    <row r="4" spans="1:25">
      <c r="A4" s="82"/>
      <c r="B4" s="85"/>
      <c r="C4" s="84" t="s">
        <v>32</v>
      </c>
      <c r="D4" s="84" t="s">
        <v>33</v>
      </c>
      <c r="E4" s="84" t="s">
        <v>33</v>
      </c>
      <c r="F4" s="82" t="s">
        <v>34</v>
      </c>
      <c r="G4" s="94">
        <v>672</v>
      </c>
      <c r="H4" s="94">
        <f t="shared" si="0"/>
        <v>16</v>
      </c>
      <c r="I4" s="94">
        <f t="shared" si="1"/>
        <v>42</v>
      </c>
      <c r="J4" s="98">
        <v>532.95</v>
      </c>
      <c r="K4" s="98">
        <v>552.87</v>
      </c>
      <c r="L4" s="98">
        <v>572.8</v>
      </c>
      <c r="M4" s="98">
        <v>622.61</v>
      </c>
      <c r="N4" s="101">
        <v>454.45</v>
      </c>
      <c r="O4" s="101">
        <v>471.44</v>
      </c>
      <c r="P4" s="101">
        <v>488.42</v>
      </c>
      <c r="Q4" s="101">
        <v>530.9</v>
      </c>
      <c r="R4" s="98">
        <v>396.47</v>
      </c>
      <c r="S4" s="98">
        <v>411.29</v>
      </c>
      <c r="T4" s="98">
        <v>426.11</v>
      </c>
      <c r="U4" s="98">
        <v>463.17</v>
      </c>
      <c r="V4" s="101">
        <v>464.96</v>
      </c>
      <c r="W4" s="101">
        <v>482.34</v>
      </c>
      <c r="X4" s="101">
        <v>499.72</v>
      </c>
      <c r="Y4" s="101">
        <v>543.18</v>
      </c>
    </row>
    <row r="5" spans="1:25">
      <c r="A5" s="82"/>
      <c r="B5" s="85"/>
      <c r="C5" s="84" t="s">
        <v>35</v>
      </c>
      <c r="D5" s="84" t="s">
        <v>36</v>
      </c>
      <c r="E5" s="84" t="s">
        <v>36</v>
      </c>
      <c r="F5" s="82" t="s">
        <v>37</v>
      </c>
      <c r="G5" s="94">
        <v>672</v>
      </c>
      <c r="H5" s="94">
        <f t="shared" si="0"/>
        <v>16</v>
      </c>
      <c r="I5" s="94">
        <f t="shared" si="1"/>
        <v>42</v>
      </c>
      <c r="J5" s="98">
        <v>532.95</v>
      </c>
      <c r="K5" s="98">
        <v>552.87</v>
      </c>
      <c r="L5" s="98">
        <v>572.8</v>
      </c>
      <c r="M5" s="98">
        <v>622.61</v>
      </c>
      <c r="N5" s="101">
        <v>454.45</v>
      </c>
      <c r="O5" s="101">
        <v>471.44</v>
      </c>
      <c r="P5" s="101">
        <v>488.42</v>
      </c>
      <c r="Q5" s="101">
        <v>530.9</v>
      </c>
      <c r="R5" s="98">
        <v>396.47</v>
      </c>
      <c r="S5" s="98">
        <v>411.29</v>
      </c>
      <c r="T5" s="98">
        <v>426.11</v>
      </c>
      <c r="U5" s="98">
        <v>463.17</v>
      </c>
      <c r="V5" s="101">
        <v>464.96</v>
      </c>
      <c r="W5" s="101">
        <v>482.34</v>
      </c>
      <c r="X5" s="101">
        <v>499.72</v>
      </c>
      <c r="Y5" s="101">
        <v>543.18</v>
      </c>
    </row>
    <row r="6" spans="1:25">
      <c r="A6" s="82"/>
      <c r="B6" s="85"/>
      <c r="C6" s="82" t="s">
        <v>38</v>
      </c>
      <c r="D6" s="84" t="s">
        <v>39</v>
      </c>
      <c r="E6" s="84" t="s">
        <v>39</v>
      </c>
      <c r="F6" s="82" t="s">
        <v>40</v>
      </c>
      <c r="G6" s="94">
        <v>672</v>
      </c>
      <c r="H6" s="94">
        <f t="shared" si="0"/>
        <v>16</v>
      </c>
      <c r="I6" s="94">
        <f t="shared" si="1"/>
        <v>42</v>
      </c>
      <c r="J6" s="98">
        <v>532.95</v>
      </c>
      <c r="K6" s="98">
        <v>552.87</v>
      </c>
      <c r="L6" s="98">
        <v>572.8</v>
      </c>
      <c r="M6" s="98">
        <v>622.61</v>
      </c>
      <c r="N6" s="101">
        <v>454.45</v>
      </c>
      <c r="O6" s="101">
        <v>471.44</v>
      </c>
      <c r="P6" s="101">
        <v>488.42</v>
      </c>
      <c r="Q6" s="101">
        <v>530.9</v>
      </c>
      <c r="R6" s="98">
        <v>396.47</v>
      </c>
      <c r="S6" s="98">
        <v>411.29</v>
      </c>
      <c r="T6" s="98">
        <v>426.11</v>
      </c>
      <c r="U6" s="98">
        <v>463.17</v>
      </c>
      <c r="V6" s="101">
        <v>464.96</v>
      </c>
      <c r="W6" s="101">
        <v>482.34</v>
      </c>
      <c r="X6" s="101">
        <v>499.72</v>
      </c>
      <c r="Y6" s="101">
        <v>543.18</v>
      </c>
    </row>
    <row r="7" spans="1:25">
      <c r="A7" s="82"/>
      <c r="B7" s="85"/>
      <c r="C7" s="82" t="s">
        <v>41</v>
      </c>
      <c r="D7" s="84" t="s">
        <v>42</v>
      </c>
      <c r="E7" s="84" t="s">
        <v>42</v>
      </c>
      <c r="F7" s="82" t="s">
        <v>43</v>
      </c>
      <c r="G7" s="94">
        <v>252</v>
      </c>
      <c r="H7" s="94">
        <f t="shared" si="0"/>
        <v>12</v>
      </c>
      <c r="I7" s="94">
        <f t="shared" ref="I7:I9" si="2">G7/12</f>
        <v>21</v>
      </c>
      <c r="J7" s="98">
        <v>1112.09</v>
      </c>
      <c r="K7" s="98">
        <v>1153.67</v>
      </c>
      <c r="L7" s="98">
        <v>1195.24</v>
      </c>
      <c r="M7" s="98">
        <v>1299.17</v>
      </c>
      <c r="N7" s="101">
        <v>948.28</v>
      </c>
      <c r="O7" s="101">
        <v>983.73</v>
      </c>
      <c r="P7" s="101">
        <v>1019.18</v>
      </c>
      <c r="Q7" s="101">
        <v>1107.81</v>
      </c>
      <c r="R7" s="98">
        <v>829.03</v>
      </c>
      <c r="S7" s="98">
        <v>860.02</v>
      </c>
      <c r="T7" s="98">
        <v>891.02</v>
      </c>
      <c r="U7" s="98">
        <v>968.5</v>
      </c>
      <c r="V7" s="101">
        <v>972.24</v>
      </c>
      <c r="W7" s="101">
        <v>1008.59</v>
      </c>
      <c r="X7" s="101">
        <v>1044.94</v>
      </c>
      <c r="Y7" s="101">
        <v>1135.8</v>
      </c>
    </row>
    <row r="8" spans="1:25">
      <c r="A8" s="82"/>
      <c r="B8" s="85"/>
      <c r="C8" s="82" t="s">
        <v>44</v>
      </c>
      <c r="D8" s="84" t="s">
        <v>45</v>
      </c>
      <c r="E8" s="84" t="s">
        <v>45</v>
      </c>
      <c r="F8" s="82" t="s">
        <v>46</v>
      </c>
      <c r="G8" s="94">
        <v>252</v>
      </c>
      <c r="H8" s="94">
        <f t="shared" si="0"/>
        <v>12</v>
      </c>
      <c r="I8" s="94">
        <f t="shared" si="2"/>
        <v>21</v>
      </c>
      <c r="J8" s="98">
        <v>1112.09</v>
      </c>
      <c r="K8" s="98">
        <v>1153.67</v>
      </c>
      <c r="L8" s="98">
        <v>1195.24</v>
      </c>
      <c r="M8" s="98">
        <v>1299.17</v>
      </c>
      <c r="N8" s="101">
        <v>948.28</v>
      </c>
      <c r="O8" s="101">
        <v>983.73</v>
      </c>
      <c r="P8" s="101">
        <v>1019.18</v>
      </c>
      <c r="Q8" s="101">
        <v>1107.81</v>
      </c>
      <c r="R8" s="98">
        <v>829.03</v>
      </c>
      <c r="S8" s="98">
        <v>860.02</v>
      </c>
      <c r="T8" s="98">
        <v>891.02</v>
      </c>
      <c r="U8" s="98">
        <v>968.5</v>
      </c>
      <c r="V8" s="101">
        <v>972.24</v>
      </c>
      <c r="W8" s="101">
        <v>1008.59</v>
      </c>
      <c r="X8" s="101">
        <v>1044.94</v>
      </c>
      <c r="Y8" s="101">
        <v>1135.8</v>
      </c>
    </row>
    <row r="9" spans="1:25">
      <c r="A9" s="82"/>
      <c r="B9" s="85"/>
      <c r="C9" s="82" t="s">
        <v>47</v>
      </c>
      <c r="D9" s="84" t="s">
        <v>48</v>
      </c>
      <c r="E9" s="84" t="s">
        <v>48</v>
      </c>
      <c r="F9" s="82" t="s">
        <v>49</v>
      </c>
      <c r="G9" s="94">
        <v>252</v>
      </c>
      <c r="H9" s="94">
        <f t="shared" si="0"/>
        <v>12</v>
      </c>
      <c r="I9" s="94">
        <f t="shared" si="2"/>
        <v>21</v>
      </c>
      <c r="J9" s="98">
        <v>1112.09</v>
      </c>
      <c r="K9" s="98">
        <v>1153.67</v>
      </c>
      <c r="L9" s="98">
        <v>1195.24</v>
      </c>
      <c r="M9" s="98">
        <v>1299.17</v>
      </c>
      <c r="N9" s="101">
        <v>948.28</v>
      </c>
      <c r="O9" s="101">
        <v>983.73</v>
      </c>
      <c r="P9" s="101">
        <v>1019.18</v>
      </c>
      <c r="Q9" s="101">
        <v>1107.81</v>
      </c>
      <c r="R9" s="98">
        <v>829.03</v>
      </c>
      <c r="S9" s="98">
        <v>860.02</v>
      </c>
      <c r="T9" s="98">
        <v>891.02</v>
      </c>
      <c r="U9" s="98">
        <v>968.5</v>
      </c>
      <c r="V9" s="101">
        <v>972.24</v>
      </c>
      <c r="W9" s="101">
        <v>1008.59</v>
      </c>
      <c r="X9" s="101">
        <v>1044.94</v>
      </c>
      <c r="Y9" s="101">
        <v>1135.8</v>
      </c>
    </row>
    <row r="10" spans="1:25">
      <c r="A10" s="82"/>
      <c r="B10" s="85" t="s">
        <v>156</v>
      </c>
      <c r="C10" s="82"/>
      <c r="D10" s="84" t="s">
        <v>72</v>
      </c>
      <c r="E10" s="84" t="s">
        <v>72</v>
      </c>
      <c r="F10" s="82" t="s">
        <v>43</v>
      </c>
      <c r="G10" s="94">
        <v>322</v>
      </c>
      <c r="H10" s="94">
        <f t="shared" si="0"/>
        <v>7</v>
      </c>
      <c r="I10" s="94">
        <v>46</v>
      </c>
      <c r="J10" s="98">
        <v>1126.79</v>
      </c>
      <c r="K10" s="98">
        <v>1168.91</v>
      </c>
      <c r="L10" s="98">
        <v>1211.03</v>
      </c>
      <c r="M10" s="98">
        <v>1316.34</v>
      </c>
      <c r="N10" s="101">
        <v>960.81</v>
      </c>
      <c r="O10" s="101">
        <v>996.73</v>
      </c>
      <c r="P10" s="101">
        <v>1032.65</v>
      </c>
      <c r="Q10" s="101">
        <v>1122.44</v>
      </c>
      <c r="R10" s="98">
        <v>838.19</v>
      </c>
      <c r="S10" s="98">
        <v>869.52</v>
      </c>
      <c r="T10" s="98">
        <v>900.86</v>
      </c>
      <c r="U10" s="98">
        <v>979.19</v>
      </c>
      <c r="V10" s="101">
        <v>982.98</v>
      </c>
      <c r="W10" s="101">
        <v>1019.73</v>
      </c>
      <c r="X10" s="101">
        <v>1056.48</v>
      </c>
      <c r="Y10" s="101">
        <v>1148.34</v>
      </c>
    </row>
    <row r="11" spans="1:25">
      <c r="A11" s="82"/>
      <c r="B11" s="85"/>
      <c r="C11" s="82"/>
      <c r="D11" s="84" t="s">
        <v>73</v>
      </c>
      <c r="E11" s="84" t="s">
        <v>73</v>
      </c>
      <c r="F11" s="82" t="s">
        <v>46</v>
      </c>
      <c r="G11" s="94">
        <v>322</v>
      </c>
      <c r="H11" s="94">
        <f t="shared" si="0"/>
        <v>7</v>
      </c>
      <c r="I11" s="94">
        <v>46</v>
      </c>
      <c r="J11" s="98">
        <v>1126.79</v>
      </c>
      <c r="K11" s="98">
        <v>1168.91</v>
      </c>
      <c r="L11" s="98">
        <v>1211.03</v>
      </c>
      <c r="M11" s="98">
        <v>1316.34</v>
      </c>
      <c r="N11" s="101">
        <v>960.81</v>
      </c>
      <c r="O11" s="101">
        <v>996.73</v>
      </c>
      <c r="P11" s="101">
        <v>1032.65</v>
      </c>
      <c r="Q11" s="101">
        <v>1122.44</v>
      </c>
      <c r="R11" s="98">
        <v>838.19</v>
      </c>
      <c r="S11" s="98">
        <v>869.52</v>
      </c>
      <c r="T11" s="98">
        <v>900.86</v>
      </c>
      <c r="U11" s="98">
        <v>979.19</v>
      </c>
      <c r="V11" s="101">
        <v>982.98</v>
      </c>
      <c r="W11" s="101">
        <v>1019.73</v>
      </c>
      <c r="X11" s="101">
        <v>1056.48</v>
      </c>
      <c r="Y11" s="101">
        <v>1148.34</v>
      </c>
    </row>
    <row r="12" spans="1:25">
      <c r="A12" s="82"/>
      <c r="B12" s="85"/>
      <c r="C12" s="82"/>
      <c r="D12" s="84" t="s">
        <v>74</v>
      </c>
      <c r="E12" s="84" t="s">
        <v>74</v>
      </c>
      <c r="F12" s="82" t="s">
        <v>49</v>
      </c>
      <c r="G12" s="94">
        <v>322</v>
      </c>
      <c r="H12" s="94">
        <f t="shared" si="0"/>
        <v>7</v>
      </c>
      <c r="I12" s="94">
        <v>46</v>
      </c>
      <c r="J12" s="98">
        <v>1126.79</v>
      </c>
      <c r="K12" s="98">
        <v>1168.91</v>
      </c>
      <c r="L12" s="98">
        <v>1211.03</v>
      </c>
      <c r="M12" s="98">
        <v>1316.34</v>
      </c>
      <c r="N12" s="101">
        <v>960.81</v>
      </c>
      <c r="O12" s="101">
        <v>996.73</v>
      </c>
      <c r="P12" s="101">
        <v>1032.65</v>
      </c>
      <c r="Q12" s="101">
        <v>1122.44</v>
      </c>
      <c r="R12" s="98">
        <v>838.19</v>
      </c>
      <c r="S12" s="98">
        <v>869.52</v>
      </c>
      <c r="T12" s="98">
        <v>900.86</v>
      </c>
      <c r="U12" s="98">
        <v>979.19</v>
      </c>
      <c r="V12" s="101">
        <v>982.98</v>
      </c>
      <c r="W12" s="101">
        <v>1019.73</v>
      </c>
      <c r="X12" s="101">
        <v>1056.48</v>
      </c>
      <c r="Y12" s="101">
        <v>1148.34</v>
      </c>
    </row>
    <row r="13" ht="16" spans="1:25">
      <c r="A13" s="82" t="s">
        <v>157</v>
      </c>
      <c r="B13" s="83" t="s">
        <v>158</v>
      </c>
      <c r="C13" s="82"/>
      <c r="D13" s="86" t="s">
        <v>159</v>
      </c>
      <c r="E13" s="84" t="s">
        <v>160</v>
      </c>
      <c r="F13" s="82" t="s">
        <v>80</v>
      </c>
      <c r="G13" s="94">
        <v>336</v>
      </c>
      <c r="H13" s="94">
        <v>6</v>
      </c>
      <c r="I13" s="94">
        <f t="shared" ref="I13:I51" si="3">G13/H13</f>
        <v>56</v>
      </c>
      <c r="J13" s="98">
        <v>718.58</v>
      </c>
      <c r="K13" s="98">
        <v>738.18</v>
      </c>
      <c r="L13" s="98">
        <v>770.84</v>
      </c>
      <c r="M13" s="98">
        <v>836.17</v>
      </c>
      <c r="N13" s="101">
        <v>612.74</v>
      </c>
      <c r="O13" s="101">
        <v>629.45</v>
      </c>
      <c r="P13" s="101">
        <v>657.3</v>
      </c>
      <c r="Q13" s="101">
        <v>713</v>
      </c>
      <c r="R13" s="98">
        <v>540.15</v>
      </c>
      <c r="S13" s="98">
        <v>554.88</v>
      </c>
      <c r="T13" s="98">
        <v>579.43</v>
      </c>
      <c r="U13" s="98">
        <v>628.54</v>
      </c>
      <c r="V13" s="101">
        <v>633.46</v>
      </c>
      <c r="W13" s="101">
        <v>650.73</v>
      </c>
      <c r="X13" s="101">
        <v>679.53</v>
      </c>
      <c r="Y13" s="101">
        <v>737.12</v>
      </c>
    </row>
    <row r="14" ht="16" spans="1:25">
      <c r="A14" s="82"/>
      <c r="B14" s="83"/>
      <c r="C14" s="82"/>
      <c r="D14" s="86" t="s">
        <v>161</v>
      </c>
      <c r="E14" s="84" t="s">
        <v>162</v>
      </c>
      <c r="F14" s="82" t="s">
        <v>83</v>
      </c>
      <c r="G14" s="94">
        <v>336</v>
      </c>
      <c r="H14" s="94">
        <v>6</v>
      </c>
      <c r="I14" s="94">
        <f t="shared" si="3"/>
        <v>56</v>
      </c>
      <c r="J14" s="98">
        <v>796.19</v>
      </c>
      <c r="K14" s="98">
        <v>817.91</v>
      </c>
      <c r="L14" s="98">
        <v>854.1</v>
      </c>
      <c r="M14" s="98">
        <v>926.48</v>
      </c>
      <c r="N14" s="101">
        <v>678.91</v>
      </c>
      <c r="O14" s="101">
        <v>697.43</v>
      </c>
      <c r="P14" s="101">
        <v>728.29</v>
      </c>
      <c r="Q14" s="101">
        <v>790.01</v>
      </c>
      <c r="R14" s="98">
        <v>596.91</v>
      </c>
      <c r="S14" s="98">
        <v>613.19</v>
      </c>
      <c r="T14" s="98">
        <v>640.32</v>
      </c>
      <c r="U14" s="98">
        <v>694.59</v>
      </c>
      <c r="V14" s="101">
        <v>700.02</v>
      </c>
      <c r="W14" s="101">
        <v>719.11</v>
      </c>
      <c r="X14" s="101">
        <v>750.93</v>
      </c>
      <c r="Y14" s="101">
        <v>814.57</v>
      </c>
    </row>
    <row r="15" ht="16" spans="1:25">
      <c r="A15" s="82"/>
      <c r="B15" s="83"/>
      <c r="C15" s="82"/>
      <c r="D15" s="86" t="s">
        <v>163</v>
      </c>
      <c r="E15" s="84" t="s">
        <v>164</v>
      </c>
      <c r="F15" s="82" t="s">
        <v>86</v>
      </c>
      <c r="G15" s="94">
        <v>336</v>
      </c>
      <c r="H15" s="94">
        <v>6</v>
      </c>
      <c r="I15" s="94">
        <f t="shared" si="3"/>
        <v>56</v>
      </c>
      <c r="J15" s="98">
        <v>827.24</v>
      </c>
      <c r="K15" s="98">
        <v>849.8</v>
      </c>
      <c r="L15" s="98">
        <v>887.4</v>
      </c>
      <c r="M15" s="98">
        <v>962.6</v>
      </c>
      <c r="N15" s="101">
        <v>705.38</v>
      </c>
      <c r="O15" s="101">
        <v>724.62</v>
      </c>
      <c r="P15" s="101">
        <v>756.68</v>
      </c>
      <c r="Q15" s="101">
        <v>820.81</v>
      </c>
      <c r="R15" s="98">
        <v>619.61</v>
      </c>
      <c r="S15" s="98">
        <v>636.51</v>
      </c>
      <c r="T15" s="98">
        <v>664.68</v>
      </c>
      <c r="U15" s="98">
        <v>721</v>
      </c>
      <c r="V15" s="101">
        <v>726.65</v>
      </c>
      <c r="W15" s="101">
        <v>746.47</v>
      </c>
      <c r="X15" s="101">
        <v>779.5</v>
      </c>
      <c r="Y15" s="101">
        <v>845.56</v>
      </c>
    </row>
    <row r="16" ht="16" spans="1:25">
      <c r="A16" s="82"/>
      <c r="B16" s="83"/>
      <c r="C16" s="82"/>
      <c r="D16" s="86" t="s">
        <v>165</v>
      </c>
      <c r="E16" s="84" t="s">
        <v>166</v>
      </c>
      <c r="F16" s="82" t="s">
        <v>89</v>
      </c>
      <c r="G16" s="94">
        <v>336</v>
      </c>
      <c r="H16" s="94">
        <v>6</v>
      </c>
      <c r="I16" s="94">
        <f t="shared" si="3"/>
        <v>56</v>
      </c>
      <c r="J16" s="98">
        <v>841.78</v>
      </c>
      <c r="K16" s="98">
        <v>864.73</v>
      </c>
      <c r="L16" s="98">
        <v>903</v>
      </c>
      <c r="M16" s="98">
        <v>979.52</v>
      </c>
      <c r="N16" s="101">
        <v>717.78</v>
      </c>
      <c r="O16" s="101">
        <v>737.36</v>
      </c>
      <c r="P16" s="101">
        <v>769.99</v>
      </c>
      <c r="Q16" s="101">
        <v>835.24</v>
      </c>
      <c r="R16" s="98">
        <v>630.25</v>
      </c>
      <c r="S16" s="98">
        <v>647.44</v>
      </c>
      <c r="T16" s="98">
        <v>676.08</v>
      </c>
      <c r="U16" s="98">
        <v>733.38</v>
      </c>
      <c r="V16" s="101">
        <v>739.12</v>
      </c>
      <c r="W16" s="101">
        <v>759.28</v>
      </c>
      <c r="X16" s="101">
        <v>792.88</v>
      </c>
      <c r="Y16" s="101">
        <v>860.07</v>
      </c>
    </row>
    <row r="17" spans="1:25">
      <c r="A17" s="82"/>
      <c r="B17" s="83" t="s">
        <v>167</v>
      </c>
      <c r="C17" s="82"/>
      <c r="D17" s="87" t="s">
        <v>168</v>
      </c>
      <c r="E17" s="84" t="s">
        <v>169</v>
      </c>
      <c r="F17" s="82" t="s">
        <v>170</v>
      </c>
      <c r="G17" s="95">
        <v>336</v>
      </c>
      <c r="H17" s="94">
        <v>6</v>
      </c>
      <c r="I17" s="94">
        <f t="shared" si="3"/>
        <v>56</v>
      </c>
      <c r="J17" s="98">
        <v>1164.96</v>
      </c>
      <c r="K17" s="98">
        <v>1196.73</v>
      </c>
      <c r="L17" s="98">
        <v>1249.68</v>
      </c>
      <c r="M17" s="98">
        <v>1355.59</v>
      </c>
      <c r="N17" s="101">
        <v>993.36</v>
      </c>
      <c r="O17" s="101">
        <v>1020.45</v>
      </c>
      <c r="P17" s="101">
        <v>1065.6</v>
      </c>
      <c r="Q17" s="101">
        <v>1155.91</v>
      </c>
      <c r="R17" s="98">
        <v>864.64</v>
      </c>
      <c r="S17" s="98">
        <v>888.22</v>
      </c>
      <c r="T17" s="98">
        <v>927.52</v>
      </c>
      <c r="U17" s="98">
        <v>1006.13</v>
      </c>
      <c r="V17" s="101">
        <v>1014</v>
      </c>
      <c r="W17" s="101">
        <v>1041.66</v>
      </c>
      <c r="X17" s="101">
        <v>1087.75</v>
      </c>
      <c r="Y17" s="101">
        <v>1179.93</v>
      </c>
    </row>
    <row r="18" spans="1:25">
      <c r="A18" s="82"/>
      <c r="B18" s="83"/>
      <c r="C18" s="82"/>
      <c r="D18" s="87" t="s">
        <v>171</v>
      </c>
      <c r="E18" s="84" t="s">
        <v>172</v>
      </c>
      <c r="F18" s="82" t="s">
        <v>92</v>
      </c>
      <c r="G18" s="95">
        <v>336</v>
      </c>
      <c r="H18" s="94">
        <v>6</v>
      </c>
      <c r="I18" s="94">
        <f t="shared" si="3"/>
        <v>56</v>
      </c>
      <c r="J18" s="98">
        <v>1189.14</v>
      </c>
      <c r="K18" s="98">
        <v>1221.57</v>
      </c>
      <c r="L18" s="98">
        <v>1275.62</v>
      </c>
      <c r="M18" s="98">
        <v>1383.73</v>
      </c>
      <c r="N18" s="101">
        <v>1013.98</v>
      </c>
      <c r="O18" s="101">
        <v>1041.63</v>
      </c>
      <c r="P18" s="101">
        <v>1087.72</v>
      </c>
      <c r="Q18" s="101">
        <v>1179.9</v>
      </c>
      <c r="R18" s="98">
        <v>882.32</v>
      </c>
      <c r="S18" s="98">
        <v>906.39</v>
      </c>
      <c r="T18" s="98">
        <v>946.49</v>
      </c>
      <c r="U18" s="98">
        <v>1026.7</v>
      </c>
      <c r="V18" s="101">
        <v>1034.74</v>
      </c>
      <c r="W18" s="101">
        <v>1062.96</v>
      </c>
      <c r="X18" s="101">
        <v>1110</v>
      </c>
      <c r="Y18" s="101">
        <v>1204.06</v>
      </c>
    </row>
    <row r="19" spans="1:25">
      <c r="A19" s="82"/>
      <c r="B19" s="83"/>
      <c r="C19" s="82"/>
      <c r="D19" s="87" t="s">
        <v>173</v>
      </c>
      <c r="E19" s="84" t="s">
        <v>174</v>
      </c>
      <c r="F19" s="82" t="s">
        <v>95</v>
      </c>
      <c r="G19" s="94">
        <v>336</v>
      </c>
      <c r="H19" s="94">
        <v>6</v>
      </c>
      <c r="I19" s="94">
        <f t="shared" si="3"/>
        <v>56</v>
      </c>
      <c r="J19" s="98">
        <v>1225.74</v>
      </c>
      <c r="K19" s="98">
        <v>1259.17</v>
      </c>
      <c r="L19" s="98">
        <v>1314.88</v>
      </c>
      <c r="M19" s="98">
        <v>1426.31</v>
      </c>
      <c r="N19" s="101">
        <v>1045.19</v>
      </c>
      <c r="O19" s="101">
        <v>1073.69</v>
      </c>
      <c r="P19" s="101">
        <v>1121.2</v>
      </c>
      <c r="Q19" s="101">
        <v>1216.22</v>
      </c>
      <c r="R19" s="98">
        <v>912.97</v>
      </c>
      <c r="S19" s="98">
        <v>937.87</v>
      </c>
      <c r="T19" s="98">
        <v>979.37</v>
      </c>
      <c r="U19" s="98">
        <v>1062.37</v>
      </c>
      <c r="V19" s="101">
        <v>1070.69</v>
      </c>
      <c r="W19" s="101">
        <v>1099.89</v>
      </c>
      <c r="X19" s="101">
        <v>1148.55</v>
      </c>
      <c r="Y19" s="101">
        <v>1245.89</v>
      </c>
    </row>
    <row r="20" spans="1:25">
      <c r="A20" s="82"/>
      <c r="B20" s="83"/>
      <c r="C20" s="82"/>
      <c r="D20" s="87" t="s">
        <v>175</v>
      </c>
      <c r="E20" s="84" t="s">
        <v>176</v>
      </c>
      <c r="F20" s="82" t="s">
        <v>98</v>
      </c>
      <c r="G20" s="94">
        <v>336</v>
      </c>
      <c r="H20" s="94">
        <v>6</v>
      </c>
      <c r="I20" s="94">
        <f t="shared" si="3"/>
        <v>56</v>
      </c>
      <c r="J20" s="98">
        <v>1240.77</v>
      </c>
      <c r="K20" s="98">
        <v>1274.61</v>
      </c>
      <c r="L20" s="98">
        <v>1331.01</v>
      </c>
      <c r="M20" s="98">
        <v>1443.8</v>
      </c>
      <c r="N20" s="101">
        <v>1058</v>
      </c>
      <c r="O20" s="101">
        <v>1086.86</v>
      </c>
      <c r="P20" s="101">
        <v>1134.95</v>
      </c>
      <c r="Q20" s="101">
        <v>1231.13</v>
      </c>
      <c r="R20" s="98">
        <v>923.97</v>
      </c>
      <c r="S20" s="98">
        <v>949.17</v>
      </c>
      <c r="T20" s="98">
        <v>991.17</v>
      </c>
      <c r="U20" s="98">
        <v>1075.16</v>
      </c>
      <c r="V20" s="101">
        <v>1083.58</v>
      </c>
      <c r="W20" s="101">
        <v>1113.13</v>
      </c>
      <c r="X20" s="101">
        <v>1162.38</v>
      </c>
      <c r="Y20" s="101">
        <v>1260.89</v>
      </c>
    </row>
    <row r="21" spans="1:25">
      <c r="A21" s="82"/>
      <c r="B21" s="83"/>
      <c r="C21" s="82"/>
      <c r="D21" s="87" t="s">
        <v>177</v>
      </c>
      <c r="E21" s="84" t="s">
        <v>178</v>
      </c>
      <c r="F21" s="82" t="s">
        <v>110</v>
      </c>
      <c r="G21" s="94">
        <v>336</v>
      </c>
      <c r="H21" s="94">
        <v>6</v>
      </c>
      <c r="I21" s="94">
        <f t="shared" si="3"/>
        <v>56</v>
      </c>
      <c r="J21" s="98">
        <v>1254.33</v>
      </c>
      <c r="K21" s="98">
        <v>1288.54</v>
      </c>
      <c r="L21" s="98">
        <v>1345.55</v>
      </c>
      <c r="M21" s="98">
        <v>1459.58</v>
      </c>
      <c r="N21" s="101">
        <v>1069.57</v>
      </c>
      <c r="O21" s="101">
        <v>1098.74</v>
      </c>
      <c r="P21" s="101">
        <v>1147.35</v>
      </c>
      <c r="Q21" s="101">
        <v>1244.59</v>
      </c>
      <c r="R21" s="98">
        <v>933.89</v>
      </c>
      <c r="S21" s="98">
        <v>959.36</v>
      </c>
      <c r="T21" s="98">
        <v>1001.8</v>
      </c>
      <c r="U21" s="98">
        <v>1086.7</v>
      </c>
      <c r="V21" s="101">
        <v>1095.21</v>
      </c>
      <c r="W21" s="101">
        <v>1125.08</v>
      </c>
      <c r="X21" s="101">
        <v>1174.86</v>
      </c>
      <c r="Y21" s="101">
        <v>1274.43</v>
      </c>
    </row>
    <row r="22" spans="1:25">
      <c r="A22" s="82"/>
      <c r="B22" s="83"/>
      <c r="C22" s="82"/>
      <c r="D22" s="87" t="s">
        <v>179</v>
      </c>
      <c r="E22" s="84" t="s">
        <v>180</v>
      </c>
      <c r="F22" s="82" t="s">
        <v>113</v>
      </c>
      <c r="G22" s="95">
        <v>168</v>
      </c>
      <c r="H22" s="94">
        <v>4</v>
      </c>
      <c r="I22" s="94">
        <f t="shared" si="3"/>
        <v>42</v>
      </c>
      <c r="J22" s="98">
        <v>2412.1</v>
      </c>
      <c r="K22" s="98">
        <v>2477.88</v>
      </c>
      <c r="L22" s="98">
        <v>2587.52</v>
      </c>
      <c r="M22" s="98">
        <v>2806.8</v>
      </c>
      <c r="N22" s="101">
        <v>2056.8</v>
      </c>
      <c r="O22" s="101">
        <v>2112.89</v>
      </c>
      <c r="P22" s="101">
        <v>2206.38</v>
      </c>
      <c r="Q22" s="101">
        <v>2393.36</v>
      </c>
      <c r="R22" s="98">
        <v>1795.03</v>
      </c>
      <c r="S22" s="98">
        <v>1843.99</v>
      </c>
      <c r="T22" s="98">
        <v>1925.58</v>
      </c>
      <c r="U22" s="98">
        <v>2088.77</v>
      </c>
      <c r="V22" s="101">
        <v>2105.12</v>
      </c>
      <c r="W22" s="101">
        <v>2162.53</v>
      </c>
      <c r="X22" s="101">
        <v>2258.22</v>
      </c>
      <c r="Y22" s="101">
        <v>2449.59</v>
      </c>
    </row>
    <row r="23" spans="1:25">
      <c r="A23" s="82"/>
      <c r="B23" s="88" t="s">
        <v>167</v>
      </c>
      <c r="C23" s="82"/>
      <c r="D23" s="87" t="s">
        <v>127</v>
      </c>
      <c r="E23" s="84" t="s">
        <v>128</v>
      </c>
      <c r="F23" s="82" t="s">
        <v>129</v>
      </c>
      <c r="G23" s="94">
        <v>168</v>
      </c>
      <c r="H23" s="94">
        <v>4</v>
      </c>
      <c r="I23" s="94">
        <f t="shared" si="3"/>
        <v>42</v>
      </c>
      <c r="J23" s="98">
        <v>2743.61</v>
      </c>
      <c r="K23" s="98">
        <v>2818.44</v>
      </c>
      <c r="L23" s="98">
        <v>2943.15</v>
      </c>
      <c r="M23" s="98">
        <v>3192.57</v>
      </c>
      <c r="N23" s="101">
        <v>2339.48</v>
      </c>
      <c r="O23" s="101">
        <v>2403.28</v>
      </c>
      <c r="P23" s="101">
        <v>2509.62</v>
      </c>
      <c r="Q23" s="101">
        <v>2722.3</v>
      </c>
      <c r="R23" s="98">
        <v>2037.49</v>
      </c>
      <c r="S23" s="98">
        <v>2093.05</v>
      </c>
      <c r="T23" s="98">
        <v>2185.67</v>
      </c>
      <c r="U23" s="98">
        <v>2370.89</v>
      </c>
      <c r="V23" s="101">
        <v>2389.45</v>
      </c>
      <c r="W23" s="101">
        <v>2454.62</v>
      </c>
      <c r="X23" s="101">
        <v>2563.23</v>
      </c>
      <c r="Y23" s="101">
        <v>2780.45</v>
      </c>
    </row>
    <row r="24" spans="1:25">
      <c r="A24" s="82"/>
      <c r="B24" s="89"/>
      <c r="C24" s="82"/>
      <c r="D24" s="87" t="s">
        <v>130</v>
      </c>
      <c r="E24" s="84" t="s">
        <v>131</v>
      </c>
      <c r="F24" s="82" t="s">
        <v>132</v>
      </c>
      <c r="G24" s="94">
        <v>160</v>
      </c>
      <c r="H24" s="94">
        <v>4</v>
      </c>
      <c r="I24" s="94">
        <f t="shared" si="3"/>
        <v>40</v>
      </c>
      <c r="J24" s="98">
        <v>2963.06</v>
      </c>
      <c r="K24" s="98">
        <v>3043.87</v>
      </c>
      <c r="L24" s="98">
        <v>3178.55</v>
      </c>
      <c r="M24" s="98">
        <v>3447.92</v>
      </c>
      <c r="N24" s="101">
        <v>2526.6</v>
      </c>
      <c r="O24" s="101">
        <v>2595.51</v>
      </c>
      <c r="P24" s="101">
        <v>2710.35</v>
      </c>
      <c r="Q24" s="101">
        <v>2940.04</v>
      </c>
      <c r="R24" s="98">
        <v>2199.22</v>
      </c>
      <c r="S24" s="98">
        <v>2259.2</v>
      </c>
      <c r="T24" s="98">
        <v>2359.16</v>
      </c>
      <c r="U24" s="98">
        <v>2559.09</v>
      </c>
      <c r="V24" s="101">
        <v>2579.13</v>
      </c>
      <c r="W24" s="101">
        <v>2649.47</v>
      </c>
      <c r="X24" s="101">
        <v>2766.7</v>
      </c>
      <c r="Y24" s="101">
        <v>3001.17</v>
      </c>
    </row>
    <row r="25" spans="1:25">
      <c r="A25" s="82"/>
      <c r="B25" s="89"/>
      <c r="C25" s="82"/>
      <c r="D25" s="87" t="s">
        <v>133</v>
      </c>
      <c r="E25" s="84" t="s">
        <v>134</v>
      </c>
      <c r="F25" s="82" t="s">
        <v>135</v>
      </c>
      <c r="G25" s="94">
        <v>160</v>
      </c>
      <c r="H25" s="94">
        <v>4</v>
      </c>
      <c r="I25" s="94">
        <f t="shared" si="3"/>
        <v>40</v>
      </c>
      <c r="J25" s="98">
        <v>3121.71</v>
      </c>
      <c r="K25" s="98">
        <v>3206.84</v>
      </c>
      <c r="L25" s="98">
        <v>3348.74</v>
      </c>
      <c r="M25" s="98">
        <v>3632.53</v>
      </c>
      <c r="N25" s="101">
        <v>2661.88</v>
      </c>
      <c r="O25" s="101">
        <v>2734.48</v>
      </c>
      <c r="P25" s="101">
        <v>2855.47</v>
      </c>
      <c r="Q25" s="101">
        <v>3097.46</v>
      </c>
      <c r="R25" s="98">
        <v>2315.25</v>
      </c>
      <c r="S25" s="98">
        <v>2378.39</v>
      </c>
      <c r="T25" s="98">
        <v>2483.63</v>
      </c>
      <c r="U25" s="98">
        <v>2694.11</v>
      </c>
      <c r="V25" s="101">
        <v>2715.2</v>
      </c>
      <c r="W25" s="101">
        <v>2789.25</v>
      </c>
      <c r="X25" s="101">
        <v>2912.67</v>
      </c>
      <c r="Y25" s="101">
        <v>3159.5</v>
      </c>
    </row>
    <row r="26" spans="1:25">
      <c r="A26" s="82"/>
      <c r="B26" s="90"/>
      <c r="C26" s="82"/>
      <c r="D26" s="91" t="s">
        <v>181</v>
      </c>
      <c r="E26" s="84" t="s">
        <v>137</v>
      </c>
      <c r="F26" s="82" t="s">
        <v>138</v>
      </c>
      <c r="G26" s="94">
        <v>96</v>
      </c>
      <c r="H26" s="94">
        <v>1</v>
      </c>
      <c r="I26" s="94">
        <f t="shared" si="3"/>
        <v>96</v>
      </c>
      <c r="J26" s="98">
        <v>4447.83</v>
      </c>
      <c r="K26" s="98">
        <v>4569.13</v>
      </c>
      <c r="L26" s="98">
        <v>4771.31</v>
      </c>
      <c r="M26" s="98">
        <v>5175.66</v>
      </c>
      <c r="N26" s="101">
        <v>3792.66</v>
      </c>
      <c r="O26" s="101">
        <v>3896.1</v>
      </c>
      <c r="P26" s="101">
        <v>4068.5</v>
      </c>
      <c r="Q26" s="101">
        <v>4413.28</v>
      </c>
      <c r="R26" s="98">
        <v>3322.19</v>
      </c>
      <c r="S26" s="98">
        <v>3412.8</v>
      </c>
      <c r="T26" s="98">
        <v>3563.81</v>
      </c>
      <c r="U26" s="98">
        <v>3865.83</v>
      </c>
      <c r="V26" s="101">
        <v>3896.09</v>
      </c>
      <c r="W26" s="101">
        <v>4002.34</v>
      </c>
      <c r="X26" s="101">
        <v>4179.44</v>
      </c>
      <c r="Y26" s="101">
        <v>4533.63</v>
      </c>
    </row>
    <row r="27" spans="1:25">
      <c r="A27" s="82"/>
      <c r="B27" s="83" t="s">
        <v>182</v>
      </c>
      <c r="C27" s="82"/>
      <c r="D27" s="87" t="s">
        <v>144</v>
      </c>
      <c r="E27" s="84" t="s">
        <v>183</v>
      </c>
      <c r="F27" s="82" t="s">
        <v>145</v>
      </c>
      <c r="G27" s="95">
        <v>172</v>
      </c>
      <c r="H27" s="95">
        <v>2</v>
      </c>
      <c r="I27" s="94">
        <f t="shared" si="3"/>
        <v>86</v>
      </c>
      <c r="J27" s="98">
        <v>2702.68</v>
      </c>
      <c r="K27" s="98">
        <v>2776.39</v>
      </c>
      <c r="L27" s="98">
        <v>2899.24</v>
      </c>
      <c r="M27" s="98">
        <v>3144.94</v>
      </c>
      <c r="N27" s="101">
        <v>2304.58</v>
      </c>
      <c r="O27" s="101">
        <v>2367.43</v>
      </c>
      <c r="P27" s="101">
        <v>2472.18</v>
      </c>
      <c r="Q27" s="101">
        <v>2681.69</v>
      </c>
      <c r="R27" s="98">
        <v>2012.91</v>
      </c>
      <c r="S27" s="98">
        <v>2067.8</v>
      </c>
      <c r="T27" s="98">
        <v>2159.3</v>
      </c>
      <c r="U27" s="98">
        <v>2342.29</v>
      </c>
      <c r="V27" s="101">
        <v>2360.63</v>
      </c>
      <c r="W27" s="101">
        <v>2425.01</v>
      </c>
      <c r="X27" s="101">
        <v>2532.31</v>
      </c>
      <c r="Y27" s="101">
        <v>2746.91</v>
      </c>
    </row>
    <row r="28" spans="1:25">
      <c r="A28" s="82"/>
      <c r="B28" s="83"/>
      <c r="C28" s="82"/>
      <c r="D28" s="87" t="s">
        <v>146</v>
      </c>
      <c r="E28" s="84" t="s">
        <v>183</v>
      </c>
      <c r="F28" s="82" t="s">
        <v>138</v>
      </c>
      <c r="G28" s="95">
        <v>96</v>
      </c>
      <c r="H28" s="95">
        <v>1</v>
      </c>
      <c r="I28" s="94">
        <f t="shared" si="3"/>
        <v>96</v>
      </c>
      <c r="J28" s="98">
        <v>3479.43</v>
      </c>
      <c r="K28" s="98">
        <v>3574.33</v>
      </c>
      <c r="L28" s="98">
        <v>3732.48</v>
      </c>
      <c r="M28" s="98">
        <v>4048.8</v>
      </c>
      <c r="N28" s="101">
        <v>2966.91</v>
      </c>
      <c r="O28" s="101">
        <v>3047.83</v>
      </c>
      <c r="P28" s="101">
        <v>3182.69</v>
      </c>
      <c r="Q28" s="101">
        <v>3452.41</v>
      </c>
      <c r="R28" s="98">
        <v>2612.08</v>
      </c>
      <c r="S28" s="98">
        <v>2683.32</v>
      </c>
      <c r="T28" s="98">
        <v>2802.05</v>
      </c>
      <c r="U28" s="98">
        <v>3039.51</v>
      </c>
      <c r="V28" s="101">
        <v>3063.3</v>
      </c>
      <c r="W28" s="101">
        <v>3146.85</v>
      </c>
      <c r="X28" s="101">
        <v>3286.09</v>
      </c>
      <c r="Y28" s="101">
        <v>3564.57</v>
      </c>
    </row>
    <row r="29" spans="1:25">
      <c r="A29" s="82"/>
      <c r="B29" s="83"/>
      <c r="C29" s="82"/>
      <c r="D29" s="87" t="s">
        <v>147</v>
      </c>
      <c r="E29" s="84" t="s">
        <v>184</v>
      </c>
      <c r="F29" s="82" t="s">
        <v>148</v>
      </c>
      <c r="G29" s="95">
        <v>96</v>
      </c>
      <c r="H29" s="95">
        <v>1</v>
      </c>
      <c r="I29" s="94">
        <f t="shared" si="3"/>
        <v>96</v>
      </c>
      <c r="J29" s="98">
        <v>3622.07</v>
      </c>
      <c r="K29" s="98">
        <v>3720.86</v>
      </c>
      <c r="L29" s="98">
        <v>3885.49</v>
      </c>
      <c r="M29" s="98">
        <v>4214.77</v>
      </c>
      <c r="N29" s="101">
        <v>3088.54</v>
      </c>
      <c r="O29" s="101">
        <v>3172.77</v>
      </c>
      <c r="P29" s="101">
        <v>3313.16</v>
      </c>
      <c r="Q29" s="101">
        <v>3593.94</v>
      </c>
      <c r="R29" s="98">
        <v>2716.4</v>
      </c>
      <c r="S29" s="98">
        <v>2790.48</v>
      </c>
      <c r="T29" s="98">
        <v>2913.95</v>
      </c>
      <c r="U29" s="98">
        <v>3160.9</v>
      </c>
      <c r="V29" s="101">
        <v>3185.64</v>
      </c>
      <c r="W29" s="101">
        <v>3272.52</v>
      </c>
      <c r="X29" s="101">
        <v>3417.32</v>
      </c>
      <c r="Y29" s="101">
        <v>3706.93</v>
      </c>
    </row>
    <row r="30" spans="1:25">
      <c r="A30" s="82"/>
      <c r="B30" s="83"/>
      <c r="C30" s="82"/>
      <c r="D30" s="87" t="s">
        <v>149</v>
      </c>
      <c r="E30" s="84" t="s">
        <v>185</v>
      </c>
      <c r="F30" s="82" t="s">
        <v>150</v>
      </c>
      <c r="G30" s="95">
        <v>96</v>
      </c>
      <c r="H30" s="95">
        <v>1</v>
      </c>
      <c r="I30" s="94">
        <f t="shared" si="3"/>
        <v>96</v>
      </c>
      <c r="J30" s="98">
        <v>3644.95</v>
      </c>
      <c r="K30" s="98">
        <v>3744.35</v>
      </c>
      <c r="L30" s="98">
        <v>3910.03</v>
      </c>
      <c r="M30" s="98">
        <v>4241.39</v>
      </c>
      <c r="N30" s="101">
        <v>3108.05</v>
      </c>
      <c r="O30" s="101">
        <v>3192.81</v>
      </c>
      <c r="P30" s="101">
        <v>3334.08</v>
      </c>
      <c r="Q30" s="101">
        <v>3616.63</v>
      </c>
      <c r="R30" s="98">
        <v>2733.13</v>
      </c>
      <c r="S30" s="98">
        <v>2807.66</v>
      </c>
      <c r="T30" s="98">
        <v>2931.9</v>
      </c>
      <c r="U30" s="98">
        <v>3180.36</v>
      </c>
      <c r="V30" s="101">
        <v>3205.26</v>
      </c>
      <c r="W30" s="101">
        <v>3292.68</v>
      </c>
      <c r="X30" s="101">
        <v>3438.37</v>
      </c>
      <c r="Y30" s="101">
        <v>3729.76</v>
      </c>
    </row>
    <row r="31" spans="1:25">
      <c r="A31" s="82" t="s">
        <v>76</v>
      </c>
      <c r="B31" s="83" t="s">
        <v>158</v>
      </c>
      <c r="C31" s="82"/>
      <c r="D31" s="87" t="s">
        <v>78</v>
      </c>
      <c r="E31" s="84" t="s">
        <v>79</v>
      </c>
      <c r="F31" s="82" t="s">
        <v>80</v>
      </c>
      <c r="G31" s="94">
        <v>336</v>
      </c>
      <c r="H31" s="94">
        <v>6</v>
      </c>
      <c r="I31" s="94">
        <f t="shared" si="3"/>
        <v>56</v>
      </c>
      <c r="J31" s="98">
        <v>553.73</v>
      </c>
      <c r="K31" s="98">
        <v>568.83</v>
      </c>
      <c r="L31" s="98">
        <v>594</v>
      </c>
      <c r="M31" s="98">
        <v>644.34</v>
      </c>
      <c r="N31" s="101">
        <v>472.16</v>
      </c>
      <c r="O31" s="101">
        <v>485.04</v>
      </c>
      <c r="P31" s="101">
        <v>506.5</v>
      </c>
      <c r="Q31" s="101">
        <v>549.42</v>
      </c>
      <c r="R31" s="98">
        <v>421.5</v>
      </c>
      <c r="S31" s="98">
        <v>432.99</v>
      </c>
      <c r="T31" s="98">
        <v>452.15</v>
      </c>
      <c r="U31" s="98">
        <v>490.47</v>
      </c>
      <c r="V31" s="101">
        <v>494.31</v>
      </c>
      <c r="W31" s="101">
        <v>507.79</v>
      </c>
      <c r="X31" s="101">
        <v>530.26</v>
      </c>
      <c r="Y31" s="101">
        <v>575.19</v>
      </c>
    </row>
    <row r="32" spans="1:25">
      <c r="A32" s="82"/>
      <c r="B32" s="83"/>
      <c r="C32" s="82"/>
      <c r="D32" s="87" t="s">
        <v>81</v>
      </c>
      <c r="E32" s="84" t="s">
        <v>82</v>
      </c>
      <c r="F32" s="82" t="s">
        <v>83</v>
      </c>
      <c r="G32" s="94">
        <v>336</v>
      </c>
      <c r="H32" s="94">
        <v>6</v>
      </c>
      <c r="I32" s="94">
        <f t="shared" si="3"/>
        <v>56</v>
      </c>
      <c r="J32" s="98">
        <v>609.11</v>
      </c>
      <c r="K32" s="98">
        <v>625.73</v>
      </c>
      <c r="L32" s="98">
        <v>653.41</v>
      </c>
      <c r="M32" s="98">
        <v>708.79</v>
      </c>
      <c r="N32" s="101">
        <v>519.39</v>
      </c>
      <c r="O32" s="101">
        <v>533.56</v>
      </c>
      <c r="P32" s="101">
        <v>557.17</v>
      </c>
      <c r="Q32" s="101">
        <v>604.38</v>
      </c>
      <c r="R32" s="98">
        <v>462</v>
      </c>
      <c r="S32" s="98">
        <v>474.6</v>
      </c>
      <c r="T32" s="98">
        <v>495.6</v>
      </c>
      <c r="U32" s="98">
        <v>537.61</v>
      </c>
      <c r="V32" s="101">
        <v>541.81</v>
      </c>
      <c r="W32" s="101">
        <v>556.59</v>
      </c>
      <c r="X32" s="101">
        <v>581.22</v>
      </c>
      <c r="Y32" s="101">
        <v>630.47</v>
      </c>
    </row>
    <row r="33" spans="1:25">
      <c r="A33" s="82"/>
      <c r="B33" s="83"/>
      <c r="C33" s="82"/>
      <c r="D33" s="87" t="s">
        <v>84</v>
      </c>
      <c r="E33" s="84" t="s">
        <v>85</v>
      </c>
      <c r="F33" s="82" t="s">
        <v>86</v>
      </c>
      <c r="G33" s="94">
        <v>336</v>
      </c>
      <c r="H33" s="94">
        <v>6</v>
      </c>
      <c r="I33" s="94">
        <f t="shared" si="3"/>
        <v>56</v>
      </c>
      <c r="J33" s="98">
        <v>637.38</v>
      </c>
      <c r="K33" s="98">
        <v>654.76</v>
      </c>
      <c r="L33" s="98">
        <v>683.73</v>
      </c>
      <c r="M33" s="98">
        <v>741.68</v>
      </c>
      <c r="N33" s="101">
        <v>543.49</v>
      </c>
      <c r="O33" s="101">
        <v>558.32</v>
      </c>
      <c r="P33" s="101">
        <v>583.02</v>
      </c>
      <c r="Q33" s="101">
        <v>632.43</v>
      </c>
      <c r="R33" s="98">
        <v>482.68</v>
      </c>
      <c r="S33" s="98">
        <v>495.84</v>
      </c>
      <c r="T33" s="98">
        <v>517.78</v>
      </c>
      <c r="U33" s="98">
        <v>561.66</v>
      </c>
      <c r="V33" s="101">
        <v>566.06</v>
      </c>
      <c r="W33" s="101">
        <v>581.5</v>
      </c>
      <c r="X33" s="101">
        <v>607.23</v>
      </c>
      <c r="Y33" s="101">
        <v>658.68</v>
      </c>
    </row>
    <row r="34" spans="1:25">
      <c r="A34" s="82"/>
      <c r="B34" s="83"/>
      <c r="C34" s="82"/>
      <c r="D34" s="87" t="s">
        <v>87</v>
      </c>
      <c r="E34" s="84" t="s">
        <v>88</v>
      </c>
      <c r="F34" s="82" t="s">
        <v>89</v>
      </c>
      <c r="G34" s="94">
        <v>336</v>
      </c>
      <c r="H34" s="94">
        <v>6</v>
      </c>
      <c r="I34" s="94">
        <f t="shared" si="3"/>
        <v>56</v>
      </c>
      <c r="J34" s="98">
        <v>660.91</v>
      </c>
      <c r="K34" s="98">
        <v>678.93</v>
      </c>
      <c r="L34" s="98">
        <v>708.97</v>
      </c>
      <c r="M34" s="98">
        <v>769.06</v>
      </c>
      <c r="N34" s="101">
        <v>563.56</v>
      </c>
      <c r="O34" s="101">
        <v>578.93</v>
      </c>
      <c r="P34" s="101">
        <v>604.54</v>
      </c>
      <c r="Q34" s="101">
        <v>655.77</v>
      </c>
      <c r="R34" s="98">
        <v>499.88</v>
      </c>
      <c r="S34" s="98">
        <v>513.52</v>
      </c>
      <c r="T34" s="98">
        <v>536.24</v>
      </c>
      <c r="U34" s="98">
        <v>581.68</v>
      </c>
      <c r="V34" s="101">
        <v>586.24</v>
      </c>
      <c r="W34" s="101">
        <v>602.23</v>
      </c>
      <c r="X34" s="101">
        <v>628.87</v>
      </c>
      <c r="Y34" s="101">
        <v>682.17</v>
      </c>
    </row>
    <row r="35" spans="1:25">
      <c r="A35" s="82"/>
      <c r="B35" s="83"/>
      <c r="C35" s="82"/>
      <c r="D35" s="87" t="s">
        <v>90</v>
      </c>
      <c r="E35" s="84" t="s">
        <v>91</v>
      </c>
      <c r="F35" s="82" t="s">
        <v>92</v>
      </c>
      <c r="G35" s="94">
        <v>384</v>
      </c>
      <c r="H35" s="94">
        <v>12</v>
      </c>
      <c r="I35" s="94">
        <f t="shared" si="3"/>
        <v>32</v>
      </c>
      <c r="J35" s="98">
        <v>855.44</v>
      </c>
      <c r="K35" s="98">
        <v>878.77</v>
      </c>
      <c r="L35" s="98">
        <v>917.65</v>
      </c>
      <c r="M35" s="98">
        <v>995.42</v>
      </c>
      <c r="N35" s="101">
        <v>729.43</v>
      </c>
      <c r="O35" s="101">
        <v>749.33</v>
      </c>
      <c r="P35" s="101">
        <v>782.48</v>
      </c>
      <c r="Q35" s="101">
        <v>848.8</v>
      </c>
      <c r="R35" s="98">
        <v>638.62</v>
      </c>
      <c r="S35" s="98">
        <v>656.04</v>
      </c>
      <c r="T35" s="98">
        <v>685.07</v>
      </c>
      <c r="U35" s="98">
        <v>743.13</v>
      </c>
      <c r="V35" s="101">
        <v>748.94</v>
      </c>
      <c r="W35" s="101">
        <v>769.37</v>
      </c>
      <c r="X35" s="101">
        <v>803.41</v>
      </c>
      <c r="Y35" s="101">
        <v>871.5</v>
      </c>
    </row>
    <row r="36" spans="1:25">
      <c r="A36" s="82"/>
      <c r="B36" s="83"/>
      <c r="C36" s="82"/>
      <c r="D36" s="87" t="s">
        <v>93</v>
      </c>
      <c r="E36" s="84" t="s">
        <v>94</v>
      </c>
      <c r="F36" s="82" t="s">
        <v>95</v>
      </c>
      <c r="G36" s="94">
        <f>G35/2</f>
        <v>192</v>
      </c>
      <c r="H36" s="94">
        <v>6</v>
      </c>
      <c r="I36" s="94">
        <f t="shared" si="3"/>
        <v>32</v>
      </c>
      <c r="J36" s="98">
        <v>980.54</v>
      </c>
      <c r="K36" s="98">
        <v>1007.28</v>
      </c>
      <c r="L36" s="98">
        <v>1051.85</v>
      </c>
      <c r="M36" s="98">
        <v>1140.99</v>
      </c>
      <c r="N36" s="101">
        <v>836.11</v>
      </c>
      <c r="O36" s="101">
        <v>858.91</v>
      </c>
      <c r="P36" s="101">
        <v>896.91</v>
      </c>
      <c r="Q36" s="101">
        <v>972.92</v>
      </c>
      <c r="R36" s="98">
        <v>742.97</v>
      </c>
      <c r="S36" s="98">
        <v>763.23</v>
      </c>
      <c r="T36" s="98">
        <v>797.01</v>
      </c>
      <c r="U36" s="98">
        <v>864.55</v>
      </c>
      <c r="V36" s="101">
        <v>871.32</v>
      </c>
      <c r="W36" s="101">
        <v>895.08</v>
      </c>
      <c r="X36" s="101">
        <v>934.68</v>
      </c>
      <c r="Y36" s="101">
        <v>1013.89</v>
      </c>
    </row>
    <row r="37" spans="1:25">
      <c r="A37" s="82"/>
      <c r="B37" s="83"/>
      <c r="C37" s="82"/>
      <c r="D37" s="87" t="s">
        <v>96</v>
      </c>
      <c r="E37" s="84" t="s">
        <v>97</v>
      </c>
      <c r="F37" s="82" t="s">
        <v>98</v>
      </c>
      <c r="G37" s="94">
        <v>264</v>
      </c>
      <c r="H37" s="94">
        <v>6</v>
      </c>
      <c r="I37" s="94">
        <f t="shared" si="3"/>
        <v>44</v>
      </c>
      <c r="J37" s="98">
        <v>1015.95</v>
      </c>
      <c r="K37" s="98">
        <v>1043.66</v>
      </c>
      <c r="L37" s="98">
        <v>1089.84</v>
      </c>
      <c r="M37" s="98">
        <v>1182.2</v>
      </c>
      <c r="N37" s="101">
        <v>866.3</v>
      </c>
      <c r="O37" s="101">
        <v>889.93</v>
      </c>
      <c r="P37" s="101">
        <v>929.3</v>
      </c>
      <c r="Q37" s="101">
        <v>1008.06</v>
      </c>
      <c r="R37" s="98">
        <v>762.94</v>
      </c>
      <c r="S37" s="98">
        <v>783.74</v>
      </c>
      <c r="T37" s="98">
        <v>818.42</v>
      </c>
      <c r="U37" s="98">
        <v>887.78</v>
      </c>
      <c r="V37" s="101">
        <v>894.73</v>
      </c>
      <c r="W37" s="101">
        <v>919.13</v>
      </c>
      <c r="X37" s="101">
        <v>959.8</v>
      </c>
      <c r="Y37" s="101">
        <v>1041.14</v>
      </c>
    </row>
    <row r="38" spans="1:25">
      <c r="A38" s="82"/>
      <c r="B38" s="83" t="s">
        <v>186</v>
      </c>
      <c r="C38" s="82"/>
      <c r="D38" s="87" t="s">
        <v>100</v>
      </c>
      <c r="E38" s="84" t="s">
        <v>101</v>
      </c>
      <c r="F38" s="82" t="s">
        <v>89</v>
      </c>
      <c r="G38" s="95">
        <v>336</v>
      </c>
      <c r="H38" s="94">
        <v>6</v>
      </c>
      <c r="I38" s="94">
        <f t="shared" si="3"/>
        <v>56</v>
      </c>
      <c r="J38" s="98">
        <v>1422.95</v>
      </c>
      <c r="K38" s="98">
        <v>1461.75</v>
      </c>
      <c r="L38" s="98">
        <v>1526.43</v>
      </c>
      <c r="M38" s="98">
        <v>1655.79</v>
      </c>
      <c r="N38" s="101">
        <v>1213.35</v>
      </c>
      <c r="O38" s="101">
        <v>1246.44</v>
      </c>
      <c r="P38" s="101">
        <v>1301.59</v>
      </c>
      <c r="Q38" s="101">
        <v>1411.89</v>
      </c>
      <c r="R38" s="98">
        <v>1057.2</v>
      </c>
      <c r="S38" s="98">
        <v>1086.04</v>
      </c>
      <c r="T38" s="98">
        <v>1134.09</v>
      </c>
      <c r="U38" s="98">
        <v>1230.2</v>
      </c>
      <c r="V38" s="101">
        <v>1239.83</v>
      </c>
      <c r="W38" s="101">
        <v>1273.64</v>
      </c>
      <c r="X38" s="101">
        <v>1330</v>
      </c>
      <c r="Y38" s="101">
        <v>1442.71</v>
      </c>
    </row>
    <row r="39" spans="1:25">
      <c r="A39" s="82"/>
      <c r="B39" s="83"/>
      <c r="C39" s="82"/>
      <c r="D39" s="87" t="s">
        <v>102</v>
      </c>
      <c r="E39" s="84" t="s">
        <v>103</v>
      </c>
      <c r="F39" s="82" t="s">
        <v>92</v>
      </c>
      <c r="G39" s="95">
        <v>336</v>
      </c>
      <c r="H39" s="94">
        <v>6</v>
      </c>
      <c r="I39" s="94">
        <f t="shared" si="3"/>
        <v>56</v>
      </c>
      <c r="J39" s="98">
        <v>1449.41</v>
      </c>
      <c r="K39" s="98">
        <v>1488.94</v>
      </c>
      <c r="L39" s="98">
        <v>1554.83</v>
      </c>
      <c r="M39" s="98">
        <v>1686.59</v>
      </c>
      <c r="N39" s="101">
        <v>1235.92</v>
      </c>
      <c r="O39" s="101">
        <v>1269.62</v>
      </c>
      <c r="P39" s="101">
        <v>1325.8</v>
      </c>
      <c r="Q39" s="101">
        <v>1438.16</v>
      </c>
      <c r="R39" s="98">
        <v>1076.56</v>
      </c>
      <c r="S39" s="98">
        <v>1105.92</v>
      </c>
      <c r="T39" s="98">
        <v>1154.86</v>
      </c>
      <c r="U39" s="98">
        <v>1252.73</v>
      </c>
      <c r="V39" s="101">
        <v>1262.53</v>
      </c>
      <c r="W39" s="101">
        <v>1296.97</v>
      </c>
      <c r="X39" s="101">
        <v>1354.35</v>
      </c>
      <c r="Y39" s="101">
        <v>1469.13</v>
      </c>
    </row>
    <row r="40" spans="1:25">
      <c r="A40" s="82"/>
      <c r="B40" s="83"/>
      <c r="C40" s="82"/>
      <c r="D40" s="87" t="s">
        <v>104</v>
      </c>
      <c r="E40" s="84" t="s">
        <v>105</v>
      </c>
      <c r="F40" s="82" t="s">
        <v>95</v>
      </c>
      <c r="G40" s="94">
        <v>336</v>
      </c>
      <c r="H40" s="94">
        <v>6</v>
      </c>
      <c r="I40" s="94">
        <f t="shared" si="3"/>
        <v>56</v>
      </c>
      <c r="J40" s="98">
        <v>1505.46</v>
      </c>
      <c r="K40" s="98">
        <v>1546.51</v>
      </c>
      <c r="L40" s="98">
        <v>1614.94</v>
      </c>
      <c r="M40" s="98">
        <v>1751.8</v>
      </c>
      <c r="N40" s="101">
        <v>1283.7</v>
      </c>
      <c r="O40" s="101">
        <v>1318.71</v>
      </c>
      <c r="P40" s="101">
        <v>1377.06</v>
      </c>
      <c r="Q40" s="101">
        <v>1493.76</v>
      </c>
      <c r="R40" s="98">
        <v>1117.55</v>
      </c>
      <c r="S40" s="98">
        <v>1148.03</v>
      </c>
      <c r="T40" s="98">
        <v>1198.82</v>
      </c>
      <c r="U40" s="98">
        <v>1300.42</v>
      </c>
      <c r="V40" s="101">
        <v>1310.6</v>
      </c>
      <c r="W40" s="101">
        <v>1346.34</v>
      </c>
      <c r="X40" s="101">
        <v>1405.92</v>
      </c>
      <c r="Y40" s="101">
        <v>1525.06</v>
      </c>
    </row>
    <row r="41" spans="1:25">
      <c r="A41" s="82"/>
      <c r="B41" s="83"/>
      <c r="C41" s="82"/>
      <c r="D41" s="87" t="s">
        <v>187</v>
      </c>
      <c r="E41" s="84" t="s">
        <v>107</v>
      </c>
      <c r="F41" s="82" t="s">
        <v>98</v>
      </c>
      <c r="G41" s="94">
        <v>336</v>
      </c>
      <c r="H41" s="94">
        <v>6</v>
      </c>
      <c r="I41" s="94">
        <f t="shared" si="3"/>
        <v>56</v>
      </c>
      <c r="J41" s="98">
        <v>1604.96</v>
      </c>
      <c r="K41" s="98">
        <v>1648.73</v>
      </c>
      <c r="L41" s="98">
        <v>1721.68</v>
      </c>
      <c r="M41" s="98">
        <v>1867.59</v>
      </c>
      <c r="N41" s="101">
        <v>1368.55</v>
      </c>
      <c r="O41" s="101">
        <v>1405.87</v>
      </c>
      <c r="P41" s="101">
        <v>1468.08</v>
      </c>
      <c r="Q41" s="101">
        <v>1592.49</v>
      </c>
      <c r="R41" s="98">
        <v>1190.32</v>
      </c>
      <c r="S41" s="98">
        <v>1222.78</v>
      </c>
      <c r="T41" s="98">
        <v>1276.89</v>
      </c>
      <c r="U41" s="98">
        <v>1385.1</v>
      </c>
      <c r="V41" s="101">
        <v>1395.94</v>
      </c>
      <c r="W41" s="101">
        <v>1434.01</v>
      </c>
      <c r="X41" s="101">
        <v>1497.47</v>
      </c>
      <c r="Y41" s="101">
        <v>1624.37</v>
      </c>
    </row>
    <row r="42" spans="1:25">
      <c r="A42" s="82"/>
      <c r="B42" s="83"/>
      <c r="C42" s="82"/>
      <c r="D42" s="87" t="s">
        <v>108</v>
      </c>
      <c r="E42" s="84" t="s">
        <v>109</v>
      </c>
      <c r="F42" s="82" t="s">
        <v>110</v>
      </c>
      <c r="G42" s="94">
        <v>336</v>
      </c>
      <c r="H42" s="94">
        <v>6</v>
      </c>
      <c r="I42" s="94">
        <f t="shared" si="3"/>
        <v>56</v>
      </c>
      <c r="J42" s="98">
        <v>1739.75</v>
      </c>
      <c r="K42" s="98">
        <v>1787.2</v>
      </c>
      <c r="L42" s="98">
        <v>1866.28</v>
      </c>
      <c r="M42" s="98">
        <v>2024.44</v>
      </c>
      <c r="N42" s="101">
        <v>1483.49</v>
      </c>
      <c r="O42" s="101">
        <v>1523.95</v>
      </c>
      <c r="P42" s="101">
        <v>1591.38</v>
      </c>
      <c r="Q42" s="101">
        <v>1726.24</v>
      </c>
      <c r="R42" s="98">
        <v>1288.9</v>
      </c>
      <c r="S42" s="98">
        <v>1324.05</v>
      </c>
      <c r="T42" s="98">
        <v>1382.64</v>
      </c>
      <c r="U42" s="98">
        <v>1499.81</v>
      </c>
      <c r="V42" s="101">
        <v>1511.55</v>
      </c>
      <c r="W42" s="101">
        <v>1552.78</v>
      </c>
      <c r="X42" s="101">
        <v>1621.49</v>
      </c>
      <c r="Y42" s="101">
        <v>1758.9</v>
      </c>
    </row>
    <row r="43" spans="1:25">
      <c r="A43" s="82"/>
      <c r="B43" s="83"/>
      <c r="C43" s="82"/>
      <c r="D43" s="87" t="s">
        <v>111</v>
      </c>
      <c r="E43" s="84" t="s">
        <v>112</v>
      </c>
      <c r="F43" s="82" t="s">
        <v>113</v>
      </c>
      <c r="G43" s="95">
        <v>168</v>
      </c>
      <c r="H43" s="94">
        <v>4</v>
      </c>
      <c r="I43" s="94">
        <f t="shared" si="3"/>
        <v>42</v>
      </c>
      <c r="J43" s="98">
        <v>1870.96</v>
      </c>
      <c r="K43" s="98">
        <v>1921.99</v>
      </c>
      <c r="L43" s="98">
        <v>2007.03</v>
      </c>
      <c r="M43" s="98">
        <v>2177.12</v>
      </c>
      <c r="N43" s="101">
        <v>1595.37</v>
      </c>
      <c r="O43" s="101">
        <v>1638.88</v>
      </c>
      <c r="P43" s="101">
        <v>1711.39</v>
      </c>
      <c r="Q43" s="101">
        <v>1856.43</v>
      </c>
      <c r="R43" s="98">
        <v>1399.27</v>
      </c>
      <c r="S43" s="98">
        <v>1437.43</v>
      </c>
      <c r="T43" s="98">
        <v>1501.03</v>
      </c>
      <c r="U43" s="98">
        <v>1628.24</v>
      </c>
      <c r="V43" s="101">
        <v>1640.99</v>
      </c>
      <c r="W43" s="101">
        <v>1685.74</v>
      </c>
      <c r="X43" s="101">
        <v>1760.33</v>
      </c>
      <c r="Y43" s="101">
        <v>1909.51</v>
      </c>
    </row>
    <row r="44" spans="1:25">
      <c r="A44" s="82"/>
      <c r="B44" s="88" t="s">
        <v>167</v>
      </c>
      <c r="C44" s="82"/>
      <c r="D44" s="87" t="s">
        <v>127</v>
      </c>
      <c r="E44" s="84" t="s">
        <v>128</v>
      </c>
      <c r="F44" s="82" t="s">
        <v>129</v>
      </c>
      <c r="G44" s="94">
        <v>168</v>
      </c>
      <c r="H44" s="94">
        <v>4</v>
      </c>
      <c r="I44" s="94">
        <f t="shared" si="3"/>
        <v>42</v>
      </c>
      <c r="J44" s="98">
        <v>2040.88</v>
      </c>
      <c r="K44" s="98">
        <v>2096.54</v>
      </c>
      <c r="L44" s="98">
        <v>2189.31</v>
      </c>
      <c r="M44" s="98">
        <v>2374.84</v>
      </c>
      <c r="N44" s="101">
        <v>1740.26</v>
      </c>
      <c r="O44" s="101">
        <v>1787.72</v>
      </c>
      <c r="P44" s="101">
        <v>1866.82</v>
      </c>
      <c r="Q44" s="101">
        <v>2025.03</v>
      </c>
      <c r="R44" s="98">
        <v>1523.54</v>
      </c>
      <c r="S44" s="98">
        <v>1565.09</v>
      </c>
      <c r="T44" s="98">
        <v>1634.35</v>
      </c>
      <c r="U44" s="98">
        <v>1772.85</v>
      </c>
      <c r="V44" s="101">
        <v>1786.73</v>
      </c>
      <c r="W44" s="101">
        <v>1835.46</v>
      </c>
      <c r="X44" s="101">
        <v>1916.67</v>
      </c>
      <c r="Y44" s="101">
        <v>2079.1</v>
      </c>
    </row>
    <row r="45" spans="1:25">
      <c r="A45" s="82"/>
      <c r="B45" s="89"/>
      <c r="C45" s="82"/>
      <c r="D45" s="87" t="s">
        <v>130</v>
      </c>
      <c r="E45" s="84" t="s">
        <v>131</v>
      </c>
      <c r="F45" s="82" t="s">
        <v>132</v>
      </c>
      <c r="G45" s="94">
        <v>160</v>
      </c>
      <c r="H45" s="94">
        <v>4</v>
      </c>
      <c r="I45" s="94">
        <f t="shared" si="3"/>
        <v>40</v>
      </c>
      <c r="J45" s="98">
        <v>2454.6</v>
      </c>
      <c r="K45" s="98">
        <v>2521.54</v>
      </c>
      <c r="L45" s="98">
        <v>2633.11</v>
      </c>
      <c r="M45" s="98">
        <v>2856.26</v>
      </c>
      <c r="N45" s="101">
        <v>2093.03</v>
      </c>
      <c r="O45" s="101">
        <v>2150.12</v>
      </c>
      <c r="P45" s="101">
        <v>2245.25</v>
      </c>
      <c r="Q45" s="101">
        <v>2435.53</v>
      </c>
      <c r="R45" s="98">
        <v>1827.36</v>
      </c>
      <c r="S45" s="98">
        <v>1877.19</v>
      </c>
      <c r="T45" s="98">
        <v>1960.26</v>
      </c>
      <c r="U45" s="98">
        <v>2126.38</v>
      </c>
      <c r="V45" s="101">
        <v>2143.02</v>
      </c>
      <c r="W45" s="101">
        <v>2201.47</v>
      </c>
      <c r="X45" s="101">
        <v>2298.88</v>
      </c>
      <c r="Y45" s="101">
        <v>2493.7</v>
      </c>
    </row>
    <row r="46" spans="1:25">
      <c r="A46" s="82"/>
      <c r="B46" s="89"/>
      <c r="C46" s="82"/>
      <c r="D46" s="87" t="s">
        <v>133</v>
      </c>
      <c r="E46" s="84" t="s">
        <v>134</v>
      </c>
      <c r="F46" s="82" t="s">
        <v>135</v>
      </c>
      <c r="G46" s="94">
        <v>160</v>
      </c>
      <c r="H46" s="94">
        <v>4</v>
      </c>
      <c r="I46" s="94">
        <f t="shared" si="3"/>
        <v>40</v>
      </c>
      <c r="J46" s="98">
        <v>2585.96</v>
      </c>
      <c r="K46" s="98">
        <v>2656.49</v>
      </c>
      <c r="L46" s="98">
        <v>2774.03</v>
      </c>
      <c r="M46" s="98">
        <v>3009.12</v>
      </c>
      <c r="N46" s="101">
        <v>2205.05</v>
      </c>
      <c r="O46" s="101">
        <v>2265.18</v>
      </c>
      <c r="P46" s="101">
        <v>2365.41</v>
      </c>
      <c r="Q46" s="101">
        <v>2565.87</v>
      </c>
      <c r="R46" s="98">
        <v>1923.43</v>
      </c>
      <c r="S46" s="98">
        <v>1975.89</v>
      </c>
      <c r="T46" s="98">
        <v>2063.32</v>
      </c>
      <c r="U46" s="98">
        <v>2238.17</v>
      </c>
      <c r="V46" s="101">
        <v>2255.69</v>
      </c>
      <c r="W46" s="101">
        <v>2317.21</v>
      </c>
      <c r="X46" s="101">
        <v>2419.74</v>
      </c>
      <c r="Y46" s="101">
        <v>2624.81</v>
      </c>
    </row>
    <row r="47" spans="1:25">
      <c r="A47" s="82"/>
      <c r="B47" s="90"/>
      <c r="C47" s="82"/>
      <c r="D47" s="91" t="s">
        <v>181</v>
      </c>
      <c r="E47" s="84" t="s">
        <v>137</v>
      </c>
      <c r="F47" s="82" t="s">
        <v>138</v>
      </c>
      <c r="G47" s="94">
        <v>96</v>
      </c>
      <c r="H47" s="94">
        <v>1</v>
      </c>
      <c r="I47" s="94">
        <f t="shared" si="3"/>
        <v>96</v>
      </c>
      <c r="J47" s="98">
        <v>3635.96</v>
      </c>
      <c r="K47" s="98">
        <v>3735.12</v>
      </c>
      <c r="L47" s="98">
        <v>3900.39</v>
      </c>
      <c r="M47" s="98">
        <v>4230.93</v>
      </c>
      <c r="N47" s="101">
        <v>3100.38</v>
      </c>
      <c r="O47" s="101">
        <v>3184.94</v>
      </c>
      <c r="P47" s="101">
        <v>3325.86</v>
      </c>
      <c r="Q47" s="101">
        <v>3607.72</v>
      </c>
      <c r="R47" s="98">
        <v>2728.43</v>
      </c>
      <c r="S47" s="98">
        <v>2802.84</v>
      </c>
      <c r="T47" s="98">
        <v>2926.86</v>
      </c>
      <c r="U47" s="98">
        <v>3174.9</v>
      </c>
      <c r="V47" s="101">
        <v>3199.75</v>
      </c>
      <c r="W47" s="101">
        <v>3287.02</v>
      </c>
      <c r="X47" s="101">
        <v>3432.46</v>
      </c>
      <c r="Y47" s="101">
        <v>3723.35</v>
      </c>
    </row>
    <row r="48" spans="1:25">
      <c r="A48" s="82"/>
      <c r="B48" s="83" t="s">
        <v>182</v>
      </c>
      <c r="C48" s="82"/>
      <c r="D48" s="87" t="s">
        <v>144</v>
      </c>
      <c r="E48" s="84"/>
      <c r="F48" s="82" t="s">
        <v>145</v>
      </c>
      <c r="G48" s="95">
        <v>172</v>
      </c>
      <c r="H48" s="95">
        <v>2</v>
      </c>
      <c r="I48" s="94">
        <f t="shared" si="3"/>
        <v>86</v>
      </c>
      <c r="J48" s="98">
        <v>2140.79</v>
      </c>
      <c r="K48" s="98">
        <v>2199.18</v>
      </c>
      <c r="L48" s="98">
        <v>2296.49</v>
      </c>
      <c r="M48" s="98">
        <v>2491.1</v>
      </c>
      <c r="N48" s="101">
        <v>1825.45</v>
      </c>
      <c r="O48" s="101">
        <v>1875.24</v>
      </c>
      <c r="P48" s="101">
        <v>1958.21</v>
      </c>
      <c r="Q48" s="101">
        <v>2124.16</v>
      </c>
      <c r="R48" s="98">
        <v>1601.97</v>
      </c>
      <c r="S48" s="98">
        <v>1645.66</v>
      </c>
      <c r="T48" s="98">
        <v>1718.47</v>
      </c>
      <c r="U48" s="98">
        <v>1864.11</v>
      </c>
      <c r="V48" s="101">
        <v>1878.7</v>
      </c>
      <c r="W48" s="101">
        <v>1929.94</v>
      </c>
      <c r="X48" s="101">
        <v>2015.33</v>
      </c>
      <c r="Y48" s="101">
        <v>2186.12</v>
      </c>
    </row>
    <row r="49" spans="1:25">
      <c r="A49" s="82"/>
      <c r="B49" s="83"/>
      <c r="C49" s="82"/>
      <c r="D49" s="87" t="s">
        <v>146</v>
      </c>
      <c r="E49" s="84" t="s">
        <v>183</v>
      </c>
      <c r="F49" s="82" t="s">
        <v>138</v>
      </c>
      <c r="G49" s="95">
        <v>96</v>
      </c>
      <c r="H49" s="95">
        <v>1</v>
      </c>
      <c r="I49" s="94">
        <f t="shared" si="3"/>
        <v>96</v>
      </c>
      <c r="J49" s="98">
        <v>2756.61</v>
      </c>
      <c r="K49" s="98">
        <v>2831.79</v>
      </c>
      <c r="L49" s="98">
        <v>2957.09</v>
      </c>
      <c r="M49" s="98">
        <v>3207.69</v>
      </c>
      <c r="N49" s="101">
        <v>2350.56</v>
      </c>
      <c r="O49" s="101">
        <v>2414.67</v>
      </c>
      <c r="P49" s="101">
        <v>2521.51</v>
      </c>
      <c r="Q49" s="101">
        <v>2735.2</v>
      </c>
      <c r="R49" s="98">
        <v>2083.44</v>
      </c>
      <c r="S49" s="98">
        <v>2140.26</v>
      </c>
      <c r="T49" s="98">
        <v>2234.96</v>
      </c>
      <c r="U49" s="98">
        <v>2424.36</v>
      </c>
      <c r="V49" s="101">
        <v>2443.34</v>
      </c>
      <c r="W49" s="101">
        <v>2509.98</v>
      </c>
      <c r="X49" s="101">
        <v>2621.04</v>
      </c>
      <c r="Y49" s="101">
        <v>2843.16</v>
      </c>
    </row>
    <row r="50" spans="1:25">
      <c r="A50" s="82"/>
      <c r="B50" s="83"/>
      <c r="C50" s="82"/>
      <c r="D50" s="87" t="s">
        <v>147</v>
      </c>
      <c r="E50" s="84" t="s">
        <v>184</v>
      </c>
      <c r="F50" s="82" t="s">
        <v>148</v>
      </c>
      <c r="G50" s="95">
        <v>96</v>
      </c>
      <c r="H50" s="95">
        <v>1</v>
      </c>
      <c r="I50" s="94">
        <f t="shared" si="3"/>
        <v>96</v>
      </c>
      <c r="J50" s="98">
        <v>2869.51</v>
      </c>
      <c r="K50" s="98">
        <v>2947.77</v>
      </c>
      <c r="L50" s="98">
        <v>3078.2</v>
      </c>
      <c r="M50" s="98">
        <v>3339.07</v>
      </c>
      <c r="N50" s="101">
        <v>2446.83</v>
      </c>
      <c r="O50" s="101">
        <v>2513.56</v>
      </c>
      <c r="P50" s="101">
        <v>2624.78</v>
      </c>
      <c r="Q50" s="101">
        <v>2847.22</v>
      </c>
      <c r="R50" s="98">
        <v>2166.01</v>
      </c>
      <c r="S50" s="98">
        <v>2225.08</v>
      </c>
      <c r="T50" s="98">
        <v>2323.54</v>
      </c>
      <c r="U50" s="98">
        <v>2520.44</v>
      </c>
      <c r="V50" s="101">
        <v>2540.18</v>
      </c>
      <c r="W50" s="101">
        <v>2609.45</v>
      </c>
      <c r="X50" s="101">
        <v>2724.92</v>
      </c>
      <c r="Y50" s="101">
        <v>2955.84</v>
      </c>
    </row>
    <row r="51" spans="1:25">
      <c r="A51" s="82"/>
      <c r="B51" s="83"/>
      <c r="C51" s="82"/>
      <c r="D51" s="87" t="s">
        <v>149</v>
      </c>
      <c r="E51" s="84" t="s">
        <v>185</v>
      </c>
      <c r="F51" s="82" t="s">
        <v>150</v>
      </c>
      <c r="G51" s="95">
        <v>96</v>
      </c>
      <c r="H51" s="95">
        <v>1</v>
      </c>
      <c r="I51" s="94">
        <f t="shared" si="3"/>
        <v>96</v>
      </c>
      <c r="J51" s="98">
        <v>2887.65</v>
      </c>
      <c r="K51" s="98">
        <v>2966.4</v>
      </c>
      <c r="L51" s="98">
        <v>3097.66</v>
      </c>
      <c r="M51" s="98">
        <v>3360.17</v>
      </c>
      <c r="N51" s="101">
        <v>2462.3</v>
      </c>
      <c r="O51" s="101">
        <v>2529.45</v>
      </c>
      <c r="P51" s="101">
        <v>2641.37</v>
      </c>
      <c r="Q51" s="101">
        <v>2865.22</v>
      </c>
      <c r="R51" s="98">
        <v>2183.02</v>
      </c>
      <c r="S51" s="98">
        <v>2242.56</v>
      </c>
      <c r="T51" s="98">
        <v>2341.79</v>
      </c>
      <c r="U51" s="98">
        <v>2540.24</v>
      </c>
      <c r="V51" s="101">
        <v>2560.13</v>
      </c>
      <c r="W51" s="101">
        <v>2629.95</v>
      </c>
      <c r="X51" s="101">
        <v>2746.32</v>
      </c>
      <c r="Y51" s="101">
        <v>2979.06</v>
      </c>
    </row>
  </sheetData>
  <mergeCells count="19">
    <mergeCell ref="A1:F1"/>
    <mergeCell ref="G1:I1"/>
    <mergeCell ref="J1:M1"/>
    <mergeCell ref="N1:Q1"/>
    <mergeCell ref="R1:U1"/>
    <mergeCell ref="V1:Y1"/>
    <mergeCell ref="A3:A12"/>
    <mergeCell ref="A13:A30"/>
    <mergeCell ref="A31:A51"/>
    <mergeCell ref="B3:B9"/>
    <mergeCell ref="B10:B12"/>
    <mergeCell ref="B13:B16"/>
    <mergeCell ref="B17:B22"/>
    <mergeCell ref="B23:B26"/>
    <mergeCell ref="B27:B30"/>
    <mergeCell ref="B31:B37"/>
    <mergeCell ref="B38:B43"/>
    <mergeCell ref="B44:B47"/>
    <mergeCell ref="B48:B5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zoomScale="80" zoomScaleNormal="80" workbookViewId="0">
      <selection activeCell="K1" sqref="K$1:Q$1048576"/>
    </sheetView>
  </sheetViews>
  <sheetFormatPr defaultColWidth="9.14285714285714" defaultRowHeight="16.8"/>
  <cols>
    <col min="1" max="1" width="16.5178571428571" style="51" customWidth="1"/>
    <col min="2" max="2" width="31.5446428571429" style="51" customWidth="1"/>
    <col min="3" max="3" width="17.4107142857143" style="51" customWidth="1"/>
    <col min="4" max="4" width="22.9196428571429" style="51" customWidth="1"/>
    <col min="5" max="5" width="16.375" style="52" customWidth="1"/>
    <col min="6" max="7" width="12.4910714285714" style="52" customWidth="1"/>
    <col min="8" max="8" width="12.4910714285714" style="53" customWidth="1"/>
    <col min="9" max="10" width="9.14285714285714" style="53"/>
    <col min="11" max="11" width="12.7857142857143"/>
    <col min="12" max="13" width="9.35714285714286"/>
    <col min="14" max="14" width="12.7857142857143"/>
    <col min="15" max="16" width="9.35714285714286"/>
  </cols>
  <sheetData>
    <row r="1" s="39" customFormat="1" ht="32" customHeight="1" spans="1:10">
      <c r="A1" s="54" t="s">
        <v>188</v>
      </c>
      <c r="B1" s="54" t="s">
        <v>189</v>
      </c>
      <c r="C1" s="54" t="s">
        <v>16</v>
      </c>
      <c r="D1" s="54" t="s">
        <v>190</v>
      </c>
      <c r="E1" s="60" t="s">
        <v>191</v>
      </c>
      <c r="F1" s="61"/>
      <c r="G1" s="61"/>
      <c r="H1" s="62" t="s">
        <v>192</v>
      </c>
      <c r="I1" s="73"/>
      <c r="J1" s="73"/>
    </row>
    <row r="2" s="39" customFormat="1" ht="36" customHeight="1" spans="1:10">
      <c r="A2" s="54"/>
      <c r="B2" s="54"/>
      <c r="C2" s="54"/>
      <c r="D2" s="54"/>
      <c r="E2" s="63" t="s">
        <v>193</v>
      </c>
      <c r="F2" s="63" t="s">
        <v>194</v>
      </c>
      <c r="G2" s="63" t="s">
        <v>195</v>
      </c>
      <c r="H2" s="64" t="s">
        <v>193</v>
      </c>
      <c r="I2" s="64" t="s">
        <v>194</v>
      </c>
      <c r="J2" s="64" t="s">
        <v>195</v>
      </c>
    </row>
    <row r="3" s="39" customFormat="1" ht="40" customHeight="1" spans="1:10">
      <c r="A3" s="55" t="s">
        <v>196</v>
      </c>
      <c r="B3" s="55" t="s">
        <v>197</v>
      </c>
      <c r="C3" s="55" t="s">
        <v>198</v>
      </c>
      <c r="D3" s="55" t="s">
        <v>199</v>
      </c>
      <c r="E3" s="65">
        <v>78.18</v>
      </c>
      <c r="F3" s="65">
        <v>81.94</v>
      </c>
      <c r="G3" s="65">
        <v>87.95</v>
      </c>
      <c r="H3" s="66">
        <v>0.126</v>
      </c>
      <c r="I3" s="66">
        <v>0.132</v>
      </c>
      <c r="J3" s="66">
        <v>0.142</v>
      </c>
    </row>
    <row r="4" s="39" customFormat="1" ht="40" customHeight="1" spans="1:10">
      <c r="A4" s="55" t="s">
        <v>196</v>
      </c>
      <c r="B4" s="56" t="s">
        <v>200</v>
      </c>
      <c r="C4" s="55" t="s">
        <v>198</v>
      </c>
      <c r="D4" s="55" t="s">
        <v>200</v>
      </c>
      <c r="E4" s="65">
        <v>78.79</v>
      </c>
      <c r="F4" s="65">
        <v>82.58</v>
      </c>
      <c r="G4" s="65">
        <v>88.64</v>
      </c>
      <c r="H4" s="66">
        <v>0.126</v>
      </c>
      <c r="I4" s="66">
        <v>0.132</v>
      </c>
      <c r="J4" s="66">
        <v>0.142</v>
      </c>
    </row>
    <row r="5" s="39" customFormat="1" ht="40" customHeight="1" spans="1:10">
      <c r="A5" s="55" t="s">
        <v>196</v>
      </c>
      <c r="B5" s="56" t="s">
        <v>201</v>
      </c>
      <c r="C5" s="55" t="s">
        <v>198</v>
      </c>
      <c r="D5" s="55" t="s">
        <v>201</v>
      </c>
      <c r="E5" s="65">
        <v>85.25</v>
      </c>
      <c r="F5" s="65">
        <v>90.08</v>
      </c>
      <c r="G5" s="65">
        <v>98.12</v>
      </c>
      <c r="H5" s="66">
        <v>0.129</v>
      </c>
      <c r="I5" s="66">
        <v>0.136</v>
      </c>
      <c r="J5" s="66">
        <v>0.149</v>
      </c>
    </row>
    <row r="6" s="39" customFormat="1" ht="40" customHeight="1" spans="1:10">
      <c r="A6" s="54" t="s">
        <v>188</v>
      </c>
      <c r="B6" s="54" t="s">
        <v>189</v>
      </c>
      <c r="C6" s="54" t="s">
        <v>16</v>
      </c>
      <c r="D6" s="54" t="s">
        <v>190</v>
      </c>
      <c r="E6" s="60" t="s">
        <v>202</v>
      </c>
      <c r="F6" s="61"/>
      <c r="G6" s="61"/>
      <c r="H6" s="62" t="s">
        <v>203</v>
      </c>
      <c r="I6" s="73"/>
      <c r="J6" s="73"/>
    </row>
    <row r="7" s="39" customFormat="1" ht="40" customHeight="1" spans="1:10">
      <c r="A7" s="54"/>
      <c r="B7" s="54"/>
      <c r="C7" s="54"/>
      <c r="D7" s="54"/>
      <c r="E7" s="63" t="s">
        <v>193</v>
      </c>
      <c r="F7" s="63" t="s">
        <v>194</v>
      </c>
      <c r="G7" s="63" t="s">
        <v>195</v>
      </c>
      <c r="H7" s="64" t="s">
        <v>193</v>
      </c>
      <c r="I7" s="64" t="s">
        <v>194</v>
      </c>
      <c r="J7" s="64" t="s">
        <v>195</v>
      </c>
    </row>
    <row r="8" s="39" customFormat="1" ht="40" customHeight="1" spans="1:10">
      <c r="A8" s="55" t="s">
        <v>204</v>
      </c>
      <c r="B8" s="55" t="s">
        <v>197</v>
      </c>
      <c r="C8" s="55" t="s">
        <v>198</v>
      </c>
      <c r="D8" s="55" t="s">
        <v>199</v>
      </c>
      <c r="E8" s="65">
        <v>73.91</v>
      </c>
      <c r="F8" s="65">
        <v>77.47</v>
      </c>
      <c r="G8" s="65">
        <v>83.15</v>
      </c>
      <c r="H8" s="66">
        <v>0.119</v>
      </c>
      <c r="I8" s="66">
        <v>0.125</v>
      </c>
      <c r="J8" s="66">
        <v>0.134</v>
      </c>
    </row>
    <row r="9" s="39" customFormat="1" ht="40" customHeight="1" spans="1:10">
      <c r="A9" s="55" t="s">
        <v>204</v>
      </c>
      <c r="B9" s="56" t="s">
        <v>201</v>
      </c>
      <c r="C9" s="55" t="s">
        <v>198</v>
      </c>
      <c r="D9" s="55" t="s">
        <v>201</v>
      </c>
      <c r="E9" s="65">
        <v>80.44</v>
      </c>
      <c r="F9" s="65">
        <v>85</v>
      </c>
      <c r="G9" s="65">
        <v>92.58</v>
      </c>
      <c r="H9" s="66">
        <v>0.122</v>
      </c>
      <c r="I9" s="66">
        <v>0.129</v>
      </c>
      <c r="J9" s="66">
        <v>0.14</v>
      </c>
    </row>
    <row r="10" s="39" customFormat="1" ht="40" customHeight="1" spans="1:10">
      <c r="A10" s="54" t="s">
        <v>188</v>
      </c>
      <c r="B10" s="54" t="s">
        <v>189</v>
      </c>
      <c r="C10" s="54" t="s">
        <v>16</v>
      </c>
      <c r="D10" s="54" t="s">
        <v>190</v>
      </c>
      <c r="E10" s="60" t="s">
        <v>202</v>
      </c>
      <c r="F10" s="61"/>
      <c r="G10" s="61"/>
      <c r="H10" s="62" t="s">
        <v>203</v>
      </c>
      <c r="I10" s="73"/>
      <c r="J10" s="73"/>
    </row>
    <row r="11" s="39" customFormat="1" ht="40" customHeight="1" spans="1:10">
      <c r="A11" s="54"/>
      <c r="B11" s="54"/>
      <c r="C11" s="54"/>
      <c r="D11" s="54"/>
      <c r="E11" s="63" t="s">
        <v>193</v>
      </c>
      <c r="F11" s="63" t="s">
        <v>194</v>
      </c>
      <c r="G11" s="63" t="s">
        <v>195</v>
      </c>
      <c r="H11" s="64" t="s">
        <v>193</v>
      </c>
      <c r="I11" s="64" t="s">
        <v>194</v>
      </c>
      <c r="J11" s="64" t="s">
        <v>195</v>
      </c>
    </row>
    <row r="12" s="40" customFormat="1" ht="40" customHeight="1" spans="1:16">
      <c r="A12" s="55" t="s">
        <v>205</v>
      </c>
      <c r="B12" s="55" t="s">
        <v>197</v>
      </c>
      <c r="C12" s="55" t="s">
        <v>198</v>
      </c>
      <c r="D12" s="55" t="s">
        <v>199</v>
      </c>
      <c r="E12" s="65">
        <v>73.55</v>
      </c>
      <c r="F12" s="65">
        <v>77.09</v>
      </c>
      <c r="G12" s="65">
        <v>82.75</v>
      </c>
      <c r="H12" s="66">
        <v>0.119</v>
      </c>
      <c r="I12" s="66">
        <v>0.124</v>
      </c>
      <c r="J12" s="66">
        <v>0.133</v>
      </c>
      <c r="K12" s="39"/>
      <c r="L12" s="39"/>
      <c r="M12" s="39"/>
      <c r="N12" s="39"/>
      <c r="O12" s="39"/>
      <c r="P12" s="39"/>
    </row>
    <row r="13" s="40" customFormat="1" ht="40" customHeight="1" spans="1:16">
      <c r="A13" s="55" t="s">
        <v>205</v>
      </c>
      <c r="B13" s="56" t="s">
        <v>201</v>
      </c>
      <c r="C13" s="55" t="s">
        <v>198</v>
      </c>
      <c r="D13" s="55" t="s">
        <v>201</v>
      </c>
      <c r="E13" s="65">
        <v>80.17</v>
      </c>
      <c r="F13" s="65">
        <v>84.71</v>
      </c>
      <c r="G13" s="65">
        <v>92.27</v>
      </c>
      <c r="H13" s="66">
        <v>0.121</v>
      </c>
      <c r="I13" s="66">
        <v>0.128</v>
      </c>
      <c r="J13" s="66">
        <v>0.14</v>
      </c>
      <c r="K13" s="39"/>
      <c r="L13" s="39"/>
      <c r="M13" s="39"/>
      <c r="N13" s="39"/>
      <c r="O13" s="39"/>
      <c r="P13" s="39"/>
    </row>
    <row r="14" spans="11:13">
      <c r="K14" s="39"/>
      <c r="L14" s="39"/>
      <c r="M14" s="39"/>
    </row>
    <row r="15" s="49" customFormat="1" ht="15.2" spans="1:10">
      <c r="A15" s="57"/>
      <c r="B15" s="57"/>
      <c r="C15" s="57"/>
      <c r="D15" s="57"/>
      <c r="E15" s="67"/>
      <c r="F15" s="67"/>
      <c r="G15" s="67"/>
      <c r="H15" s="68"/>
      <c r="I15" s="68"/>
      <c r="J15" s="68"/>
    </row>
    <row r="16" s="49" customFormat="1" ht="15.2" spans="1:10">
      <c r="A16" s="57"/>
      <c r="B16" s="57"/>
      <c r="C16" s="57"/>
      <c r="D16" s="57"/>
      <c r="E16" s="67"/>
      <c r="F16" s="67"/>
      <c r="G16" s="67"/>
      <c r="H16" s="68"/>
      <c r="I16" s="68"/>
      <c r="J16" s="68"/>
    </row>
    <row r="17" s="49" customFormat="1" ht="15.2" spans="1:10">
      <c r="A17" s="57"/>
      <c r="B17" s="57"/>
      <c r="C17" s="57"/>
      <c r="D17" s="57"/>
      <c r="E17" s="67"/>
      <c r="F17" s="67"/>
      <c r="G17" s="67"/>
      <c r="H17" s="68"/>
      <c r="I17" s="68"/>
      <c r="J17" s="68"/>
    </row>
    <row r="18" s="49" customFormat="1" ht="15.2" spans="1:10">
      <c r="A18" s="57"/>
      <c r="B18" s="57"/>
      <c r="C18" s="57"/>
      <c r="D18" s="57"/>
      <c r="E18" s="67"/>
      <c r="F18" s="67"/>
      <c r="G18" s="67"/>
      <c r="H18" s="68"/>
      <c r="I18" s="68"/>
      <c r="J18" s="68"/>
    </row>
    <row r="20" s="50" customFormat="1" ht="43" customHeight="1" spans="1:10">
      <c r="A20" s="58"/>
      <c r="B20" s="58"/>
      <c r="C20" s="58"/>
      <c r="D20" s="58"/>
      <c r="E20" s="69"/>
      <c r="F20" s="69"/>
      <c r="G20" s="69"/>
      <c r="H20" s="70"/>
      <c r="I20" s="70"/>
      <c r="J20" s="70"/>
    </row>
    <row r="21" s="41" customFormat="1" ht="15.2" spans="1:10">
      <c r="A21" s="59"/>
      <c r="B21" s="59"/>
      <c r="C21" s="59"/>
      <c r="D21" s="59"/>
      <c r="E21" s="71"/>
      <c r="F21" s="71"/>
      <c r="G21" s="71"/>
      <c r="H21" s="72"/>
      <c r="I21" s="72"/>
      <c r="J21" s="72"/>
    </row>
    <row r="22" s="41" customFormat="1" ht="15.2" spans="1:10">
      <c r="A22" s="59"/>
      <c r="B22" s="59"/>
      <c r="C22" s="59"/>
      <c r="D22" s="59"/>
      <c r="E22" s="71"/>
      <c r="F22" s="71"/>
      <c r="G22" s="71"/>
      <c r="H22" s="72"/>
      <c r="I22" s="72"/>
      <c r="J22" s="72"/>
    </row>
    <row r="23" s="41" customFormat="1" ht="15.2" spans="1:10">
      <c r="A23" s="59"/>
      <c r="B23" s="59"/>
      <c r="C23" s="59"/>
      <c r="D23" s="59"/>
      <c r="E23" s="71"/>
      <c r="F23" s="71"/>
      <c r="G23" s="71"/>
      <c r="H23" s="72"/>
      <c r="I23" s="72"/>
      <c r="J23" s="72"/>
    </row>
    <row r="24" s="41" customFormat="1" ht="15.2" spans="1:10">
      <c r="A24" s="59"/>
      <c r="B24" s="59"/>
      <c r="C24" s="59"/>
      <c r="D24" s="59"/>
      <c r="E24" s="71"/>
      <c r="F24" s="71"/>
      <c r="G24" s="71"/>
      <c r="H24" s="72"/>
      <c r="I24" s="72"/>
      <c r="J24" s="72"/>
    </row>
  </sheetData>
  <mergeCells count="18">
    <mergeCell ref="E1:G1"/>
    <mergeCell ref="H1:J1"/>
    <mergeCell ref="E6:G6"/>
    <mergeCell ref="H6:J6"/>
    <mergeCell ref="E10:G10"/>
    <mergeCell ref="H10:J10"/>
    <mergeCell ref="A1:A2"/>
    <mergeCell ref="A6:A7"/>
    <mergeCell ref="A10:A11"/>
    <mergeCell ref="B1:B2"/>
    <mergeCell ref="B6:B7"/>
    <mergeCell ref="B10:B11"/>
    <mergeCell ref="C1:C2"/>
    <mergeCell ref="C6:C7"/>
    <mergeCell ref="C10:C11"/>
    <mergeCell ref="D1:D2"/>
    <mergeCell ref="D6:D7"/>
    <mergeCell ref="D10:D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78" zoomScaleNormal="78" workbookViewId="0">
      <selection activeCell="L13" sqref="L13"/>
    </sheetView>
  </sheetViews>
  <sheetFormatPr defaultColWidth="9.14285714285714" defaultRowHeight="16.8"/>
  <cols>
    <col min="1" max="1" width="12.7857142857143" customWidth="1"/>
    <col min="2" max="2" width="19.5089285714286" customWidth="1"/>
    <col min="3" max="3" width="12.7857142857143" customWidth="1"/>
    <col min="4" max="4" width="20.9107142857143" customWidth="1"/>
    <col min="5" max="8" width="15.6785714285714" style="42" customWidth="1"/>
    <col min="9" max="9" width="9.35714285714286"/>
    <col min="10" max="10" width="12.7857142857143"/>
    <col min="11" max="12" width="9.35714285714286"/>
  </cols>
  <sheetData>
    <row r="1" s="39" customFormat="1" ht="39" customHeight="1" spans="1:8">
      <c r="A1" s="43" t="s">
        <v>188</v>
      </c>
      <c r="B1" s="43" t="s">
        <v>189</v>
      </c>
      <c r="C1" s="43" t="s">
        <v>16</v>
      </c>
      <c r="D1" s="43" t="s">
        <v>190</v>
      </c>
      <c r="E1" s="45" t="s">
        <v>206</v>
      </c>
      <c r="F1" s="45"/>
      <c r="G1" s="45"/>
      <c r="H1" s="45"/>
    </row>
    <row r="2" s="39" customFormat="1" ht="39" customHeight="1" spans="1:8">
      <c r="A2" s="43"/>
      <c r="B2" s="43"/>
      <c r="C2" s="43"/>
      <c r="D2" s="43"/>
      <c r="E2" s="46" t="s">
        <v>23</v>
      </c>
      <c r="F2" s="46" t="s">
        <v>24</v>
      </c>
      <c r="G2" s="46" t="s">
        <v>25</v>
      </c>
      <c r="H2" s="46" t="s">
        <v>26</v>
      </c>
    </row>
    <row r="3" s="39" customFormat="1" ht="25" customHeight="1" spans="1:8">
      <c r="A3" s="44" t="s">
        <v>196</v>
      </c>
      <c r="B3" s="44" t="s">
        <v>207</v>
      </c>
      <c r="C3" s="44" t="s">
        <v>208</v>
      </c>
      <c r="D3" s="44" t="s">
        <v>209</v>
      </c>
      <c r="E3" s="47">
        <v>369.12</v>
      </c>
      <c r="F3" s="47">
        <v>382.92</v>
      </c>
      <c r="G3" s="47">
        <v>396.71</v>
      </c>
      <c r="H3" s="47">
        <v>431.21</v>
      </c>
    </row>
    <row r="4" s="39" customFormat="1" ht="25" customHeight="1" spans="1:8">
      <c r="A4" s="44" t="s">
        <v>196</v>
      </c>
      <c r="B4" s="44" t="s">
        <v>210</v>
      </c>
      <c r="C4" s="44" t="s">
        <v>211</v>
      </c>
      <c r="D4" s="44" t="s">
        <v>212</v>
      </c>
      <c r="E4" s="47">
        <v>29.47</v>
      </c>
      <c r="F4" s="47">
        <v>30.57</v>
      </c>
      <c r="G4" s="47">
        <v>31.67</v>
      </c>
      <c r="H4" s="47">
        <v>34.43</v>
      </c>
    </row>
    <row r="5" s="39" customFormat="1" ht="25" customHeight="1" spans="1:8">
      <c r="A5" s="44" t="s">
        <v>196</v>
      </c>
      <c r="B5" s="44" t="s">
        <v>213</v>
      </c>
      <c r="C5" s="44" t="s">
        <v>214</v>
      </c>
      <c r="D5" s="44" t="s">
        <v>84</v>
      </c>
      <c r="E5" s="47">
        <v>710.42</v>
      </c>
      <c r="F5" s="47">
        <v>736.98</v>
      </c>
      <c r="G5" s="47">
        <v>763.54</v>
      </c>
      <c r="H5" s="47">
        <v>829.93</v>
      </c>
    </row>
    <row r="6" s="39" customFormat="1" ht="25" customHeight="1" spans="1:8">
      <c r="A6" s="44" t="s">
        <v>196</v>
      </c>
      <c r="B6" s="44" t="s">
        <v>215</v>
      </c>
      <c r="C6" s="44" t="s">
        <v>216</v>
      </c>
      <c r="D6" s="44" t="s">
        <v>121</v>
      </c>
      <c r="E6" s="47">
        <v>603.1</v>
      </c>
      <c r="F6" s="47">
        <v>625.65</v>
      </c>
      <c r="G6" s="47">
        <v>648.19</v>
      </c>
      <c r="H6" s="47">
        <v>704.56</v>
      </c>
    </row>
    <row r="7" s="39" customFormat="1" ht="25" customHeight="1" spans="1:8">
      <c r="A7" s="44" t="s">
        <v>196</v>
      </c>
      <c r="B7" s="44" t="s">
        <v>217</v>
      </c>
      <c r="C7" s="44" t="s">
        <v>214</v>
      </c>
      <c r="D7" s="44" t="s">
        <v>108</v>
      </c>
      <c r="E7" s="47">
        <v>1927.32</v>
      </c>
      <c r="F7" s="47">
        <v>1999.37</v>
      </c>
      <c r="G7" s="47">
        <v>2071.42</v>
      </c>
      <c r="H7" s="47">
        <v>2251.54</v>
      </c>
    </row>
    <row r="8" s="39" customFormat="1" ht="25" customHeight="1" spans="1:8">
      <c r="A8" s="44" t="s">
        <v>196</v>
      </c>
      <c r="B8" s="44" t="s">
        <v>218</v>
      </c>
      <c r="C8" s="44" t="s">
        <v>216</v>
      </c>
      <c r="D8" s="44" t="s">
        <v>124</v>
      </c>
      <c r="E8" s="47">
        <v>1578.16</v>
      </c>
      <c r="F8" s="47">
        <v>1637.15</v>
      </c>
      <c r="G8" s="47">
        <v>1696.15</v>
      </c>
      <c r="H8" s="47">
        <v>1843.64</v>
      </c>
    </row>
    <row r="9" s="39" customFormat="1" ht="25" customHeight="1" spans="1:8">
      <c r="A9" s="44" t="s">
        <v>196</v>
      </c>
      <c r="B9" s="44" t="s">
        <v>219</v>
      </c>
      <c r="C9" s="44" t="s">
        <v>214</v>
      </c>
      <c r="D9" s="44" t="s">
        <v>93</v>
      </c>
      <c r="E9" s="47">
        <v>1094.46</v>
      </c>
      <c r="F9" s="47">
        <v>1135.37</v>
      </c>
      <c r="G9" s="47">
        <v>1176.29</v>
      </c>
      <c r="H9" s="47">
        <v>1278.57</v>
      </c>
    </row>
    <row r="10" s="39" customFormat="1" ht="32" customHeight="1" spans="1:8">
      <c r="A10" s="43" t="s">
        <v>188</v>
      </c>
      <c r="B10" s="43" t="s">
        <v>189</v>
      </c>
      <c r="C10" s="43" t="s">
        <v>16</v>
      </c>
      <c r="D10" s="43" t="s">
        <v>190</v>
      </c>
      <c r="E10" s="45" t="s">
        <v>220</v>
      </c>
      <c r="F10" s="45"/>
      <c r="G10" s="45"/>
      <c r="H10" s="45"/>
    </row>
    <row r="11" s="39" customFormat="1" ht="32" customHeight="1" spans="1:8">
      <c r="A11" s="43"/>
      <c r="B11" s="43"/>
      <c r="C11" s="43"/>
      <c r="D11" s="43"/>
      <c r="E11" s="46" t="s">
        <v>23</v>
      </c>
      <c r="F11" s="46" t="s">
        <v>24</v>
      </c>
      <c r="G11" s="46" t="s">
        <v>25</v>
      </c>
      <c r="H11" s="46" t="s">
        <v>26</v>
      </c>
    </row>
    <row r="12" s="39" customFormat="1" ht="25" customHeight="1" spans="1:8">
      <c r="A12" s="44" t="s">
        <v>204</v>
      </c>
      <c r="B12" s="44" t="s">
        <v>207</v>
      </c>
      <c r="C12" s="44" t="s">
        <v>208</v>
      </c>
      <c r="D12" s="44" t="s">
        <v>209</v>
      </c>
      <c r="E12" s="47">
        <v>329.24</v>
      </c>
      <c r="F12" s="47">
        <v>341.55</v>
      </c>
      <c r="G12" s="47">
        <v>353.86</v>
      </c>
      <c r="H12" s="47">
        <v>384.63</v>
      </c>
    </row>
    <row r="13" s="39" customFormat="1" ht="25" customHeight="1" spans="1:8">
      <c r="A13" s="44" t="s">
        <v>204</v>
      </c>
      <c r="B13" s="44" t="s">
        <v>210</v>
      </c>
      <c r="C13" s="44" t="s">
        <v>211</v>
      </c>
      <c r="D13" s="44" t="s">
        <v>212</v>
      </c>
      <c r="E13" s="47">
        <v>26.3</v>
      </c>
      <c r="F13" s="47">
        <v>27.28</v>
      </c>
      <c r="G13" s="47">
        <v>28.26</v>
      </c>
      <c r="H13" s="47">
        <v>30.72</v>
      </c>
    </row>
    <row r="14" s="39" customFormat="1" ht="25" customHeight="1" spans="1:8">
      <c r="A14" s="44" t="s">
        <v>204</v>
      </c>
      <c r="B14" s="44" t="s">
        <v>213</v>
      </c>
      <c r="C14" s="44" t="s">
        <v>214</v>
      </c>
      <c r="D14" s="44" t="s">
        <v>84</v>
      </c>
      <c r="E14" s="47">
        <v>634.16</v>
      </c>
      <c r="F14" s="47">
        <v>657.87</v>
      </c>
      <c r="G14" s="47">
        <v>681.58</v>
      </c>
      <c r="H14" s="47">
        <v>740.84</v>
      </c>
    </row>
    <row r="15" s="39" customFormat="1" ht="25" customHeight="1" spans="1:8">
      <c r="A15" s="44" t="s">
        <v>204</v>
      </c>
      <c r="B15" s="44" t="s">
        <v>215</v>
      </c>
      <c r="C15" s="44" t="s">
        <v>216</v>
      </c>
      <c r="D15" s="44" t="s">
        <v>121</v>
      </c>
      <c r="E15" s="47">
        <v>538.5</v>
      </c>
      <c r="F15" s="47">
        <v>558.63</v>
      </c>
      <c r="G15" s="47">
        <v>578.76</v>
      </c>
      <c r="H15" s="47">
        <v>629.09</v>
      </c>
    </row>
    <row r="16" s="39" customFormat="1" ht="25" customHeight="1" spans="1:8">
      <c r="A16" s="44" t="s">
        <v>204</v>
      </c>
      <c r="B16" s="44" t="s">
        <v>217</v>
      </c>
      <c r="C16" s="44" t="s">
        <v>214</v>
      </c>
      <c r="D16" s="44" t="s">
        <v>108</v>
      </c>
      <c r="E16" s="47">
        <v>1717.29</v>
      </c>
      <c r="F16" s="47">
        <v>1781.49</v>
      </c>
      <c r="G16" s="47">
        <v>1845.69</v>
      </c>
      <c r="H16" s="47">
        <v>2006.18</v>
      </c>
    </row>
    <row r="17" s="39" customFormat="1" ht="25" customHeight="1" spans="1:8">
      <c r="A17" s="44" t="s">
        <v>204</v>
      </c>
      <c r="B17" s="44" t="s">
        <v>218</v>
      </c>
      <c r="C17" s="44" t="s">
        <v>216</v>
      </c>
      <c r="D17" s="44" t="s">
        <v>124</v>
      </c>
      <c r="E17" s="47">
        <v>1409.77</v>
      </c>
      <c r="F17" s="47">
        <v>1462.47</v>
      </c>
      <c r="G17" s="47">
        <v>1515.17</v>
      </c>
      <c r="H17" s="47">
        <v>1646.92</v>
      </c>
    </row>
    <row r="18" s="39" customFormat="1" ht="25" customHeight="1" spans="1:8">
      <c r="A18" s="44" t="s">
        <v>204</v>
      </c>
      <c r="B18" s="44" t="s">
        <v>219</v>
      </c>
      <c r="C18" s="44" t="s">
        <v>214</v>
      </c>
      <c r="D18" s="44" t="s">
        <v>93</v>
      </c>
      <c r="E18" s="47">
        <v>977.36</v>
      </c>
      <c r="F18" s="47">
        <v>1013.9</v>
      </c>
      <c r="G18" s="47">
        <v>1050.43</v>
      </c>
      <c r="H18" s="47">
        <v>1141.78</v>
      </c>
    </row>
    <row r="19" s="39" customFormat="1" ht="42" customHeight="1" spans="1:8">
      <c r="A19" s="43" t="s">
        <v>188</v>
      </c>
      <c r="B19" s="43" t="s">
        <v>189</v>
      </c>
      <c r="C19" s="43" t="s">
        <v>16</v>
      </c>
      <c r="D19" s="43" t="s">
        <v>190</v>
      </c>
      <c r="E19" s="45" t="s">
        <v>220</v>
      </c>
      <c r="F19" s="45"/>
      <c r="G19" s="45"/>
      <c r="H19" s="45"/>
    </row>
    <row r="20" s="39" customFormat="1" ht="42" customHeight="1" spans="1:8">
      <c r="A20" s="43"/>
      <c r="B20" s="43"/>
      <c r="C20" s="43"/>
      <c r="D20" s="43"/>
      <c r="E20" s="46" t="s">
        <v>23</v>
      </c>
      <c r="F20" s="46" t="s">
        <v>24</v>
      </c>
      <c r="G20" s="46" t="s">
        <v>25</v>
      </c>
      <c r="H20" s="46" t="s">
        <v>26</v>
      </c>
    </row>
    <row r="21" s="40" customFormat="1" ht="25" customHeight="1" spans="1:12">
      <c r="A21" s="44" t="s">
        <v>205</v>
      </c>
      <c r="B21" s="44" t="s">
        <v>207</v>
      </c>
      <c r="C21" s="44" t="s">
        <v>208</v>
      </c>
      <c r="D21" s="44" t="s">
        <v>209</v>
      </c>
      <c r="E21" s="47">
        <v>329</v>
      </c>
      <c r="F21" s="47">
        <v>341.3</v>
      </c>
      <c r="G21" s="47">
        <v>353.6</v>
      </c>
      <c r="H21" s="47">
        <v>384.34</v>
      </c>
      <c r="I21" s="39"/>
      <c r="J21" s="39"/>
      <c r="K21" s="39"/>
      <c r="L21" s="39"/>
    </row>
    <row r="22" s="40" customFormat="1" ht="25" customHeight="1" spans="1:12">
      <c r="A22" s="44" t="s">
        <v>205</v>
      </c>
      <c r="B22" s="44" t="s">
        <v>210</v>
      </c>
      <c r="C22" s="44" t="s">
        <v>211</v>
      </c>
      <c r="D22" s="44" t="s">
        <v>212</v>
      </c>
      <c r="E22" s="47">
        <v>26.27</v>
      </c>
      <c r="F22" s="47">
        <v>27.25</v>
      </c>
      <c r="G22" s="47">
        <v>28.24</v>
      </c>
      <c r="H22" s="47">
        <v>30.69</v>
      </c>
      <c r="I22" s="39"/>
      <c r="J22" s="39"/>
      <c r="K22" s="39"/>
      <c r="L22" s="39"/>
    </row>
    <row r="23" s="40" customFormat="1" ht="25" customHeight="1" spans="1:12">
      <c r="A23" s="44" t="s">
        <v>205</v>
      </c>
      <c r="B23" s="44" t="s">
        <v>213</v>
      </c>
      <c r="C23" s="44" t="s">
        <v>214</v>
      </c>
      <c r="D23" s="44" t="s">
        <v>84</v>
      </c>
      <c r="E23" s="47">
        <v>633.53</v>
      </c>
      <c r="F23" s="47">
        <v>657.21</v>
      </c>
      <c r="G23" s="47">
        <v>680.89</v>
      </c>
      <c r="H23" s="47">
        <v>740.1</v>
      </c>
      <c r="I23" s="39"/>
      <c r="J23" s="39"/>
      <c r="K23" s="39"/>
      <c r="L23" s="39"/>
    </row>
    <row r="24" s="40" customFormat="1" ht="25" customHeight="1" spans="1:12">
      <c r="A24" s="44" t="s">
        <v>205</v>
      </c>
      <c r="B24" s="44" t="s">
        <v>215</v>
      </c>
      <c r="C24" s="44" t="s">
        <v>216</v>
      </c>
      <c r="D24" s="44" t="s">
        <v>121</v>
      </c>
      <c r="E24" s="47">
        <v>537.94</v>
      </c>
      <c r="F24" s="47">
        <v>558.05</v>
      </c>
      <c r="G24" s="47">
        <v>578.17</v>
      </c>
      <c r="H24" s="47">
        <v>628.44</v>
      </c>
      <c r="I24" s="39"/>
      <c r="J24" s="39"/>
      <c r="K24" s="39"/>
      <c r="L24" s="39"/>
    </row>
    <row r="25" s="40" customFormat="1" ht="25" customHeight="1" spans="1:12">
      <c r="A25" s="44" t="s">
        <v>205</v>
      </c>
      <c r="B25" s="44" t="s">
        <v>217</v>
      </c>
      <c r="C25" s="44" t="s">
        <v>214</v>
      </c>
      <c r="D25" s="44" t="s">
        <v>108</v>
      </c>
      <c r="E25" s="47">
        <v>1716.66</v>
      </c>
      <c r="F25" s="47">
        <v>1780.83</v>
      </c>
      <c r="G25" s="47">
        <v>1845.01</v>
      </c>
      <c r="H25" s="47">
        <v>2005.44</v>
      </c>
      <c r="I25" s="39"/>
      <c r="J25" s="39"/>
      <c r="K25" s="39"/>
      <c r="L25" s="39"/>
    </row>
    <row r="26" s="40" customFormat="1" ht="25" customHeight="1" spans="1:12">
      <c r="A26" s="44" t="s">
        <v>205</v>
      </c>
      <c r="B26" s="44" t="s">
        <v>218</v>
      </c>
      <c r="C26" s="44" t="s">
        <v>216</v>
      </c>
      <c r="D26" s="44" t="s">
        <v>124</v>
      </c>
      <c r="E26" s="47">
        <v>1408.1</v>
      </c>
      <c r="F26" s="47">
        <v>1460.74</v>
      </c>
      <c r="G26" s="47">
        <v>1513.38</v>
      </c>
      <c r="H26" s="47">
        <v>1644.97</v>
      </c>
      <c r="I26" s="39"/>
      <c r="J26" s="39"/>
      <c r="K26" s="39"/>
      <c r="L26" s="39"/>
    </row>
    <row r="27" s="40" customFormat="1" ht="25" customHeight="1" spans="1:12">
      <c r="A27" s="44" t="s">
        <v>205</v>
      </c>
      <c r="B27" s="44" t="s">
        <v>219</v>
      </c>
      <c r="C27" s="44" t="s">
        <v>214</v>
      </c>
      <c r="D27" s="44" t="s">
        <v>93</v>
      </c>
      <c r="E27" s="47">
        <v>976.25</v>
      </c>
      <c r="F27" s="47">
        <v>1012.74</v>
      </c>
      <c r="G27" s="47">
        <v>1049.24</v>
      </c>
      <c r="H27" s="47">
        <v>1140.47</v>
      </c>
      <c r="I27" s="39"/>
      <c r="J27" s="39"/>
      <c r="K27" s="39"/>
      <c r="L27" s="39"/>
    </row>
    <row r="28" s="41" customFormat="1" ht="15.2" spans="5:8">
      <c r="E28" s="48"/>
      <c r="F28" s="48"/>
      <c r="G28" s="48"/>
      <c r="H28" s="48"/>
    </row>
    <row r="29" s="41" customFormat="1" ht="15.2" spans="5:8">
      <c r="E29" s="48"/>
      <c r="F29" s="48"/>
      <c r="G29" s="48"/>
      <c r="H29" s="48"/>
    </row>
    <row r="30" s="41" customFormat="1" ht="15.2" spans="5:8">
      <c r="E30" s="48"/>
      <c r="F30" s="48"/>
      <c r="G30" s="48"/>
      <c r="H30" s="48"/>
    </row>
  </sheetData>
  <mergeCells count="15">
    <mergeCell ref="E1:H1"/>
    <mergeCell ref="E10:H10"/>
    <mergeCell ref="E19:H19"/>
    <mergeCell ref="A1:A2"/>
    <mergeCell ref="A10:A11"/>
    <mergeCell ref="A19:A20"/>
    <mergeCell ref="B1:B2"/>
    <mergeCell ref="B10:B11"/>
    <mergeCell ref="B19:B20"/>
    <mergeCell ref="C1:C2"/>
    <mergeCell ref="C10:C11"/>
    <mergeCell ref="C19:C20"/>
    <mergeCell ref="D1:D2"/>
    <mergeCell ref="D10:D11"/>
    <mergeCell ref="D19:D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zoomScale="122" zoomScaleNormal="122" workbookViewId="0">
      <selection activeCell="H6" sqref="H6"/>
    </sheetView>
  </sheetViews>
  <sheetFormatPr defaultColWidth="9" defaultRowHeight="16.8"/>
  <cols>
    <col min="1" max="1" width="16.3571428571429" style="28" customWidth="1"/>
    <col min="2" max="3" width="9" style="28"/>
    <col min="4" max="4" width="14.5892857142857" style="28" customWidth="1"/>
    <col min="5" max="7" width="9" style="28"/>
    <col min="8" max="9" width="9" style="30"/>
    <col min="10" max="10" width="9" style="30" customWidth="1"/>
    <col min="11" max="12" width="9" style="30"/>
    <col min="13" max="13" width="9" style="30" customWidth="1"/>
    <col min="14" max="16384" width="9" style="28"/>
  </cols>
  <sheetData>
    <row r="1" s="27" customFormat="1" ht="40" customHeight="1" spans="1:13">
      <c r="A1" s="31" t="s">
        <v>9</v>
      </c>
      <c r="B1" s="31"/>
      <c r="C1" s="31"/>
      <c r="D1" s="31"/>
      <c r="E1" s="31" t="s">
        <v>10</v>
      </c>
      <c r="F1" s="31"/>
      <c r="G1" s="31"/>
      <c r="H1" s="35" t="s">
        <v>221</v>
      </c>
      <c r="I1" s="35"/>
      <c r="J1" s="35"/>
      <c r="K1" s="35" t="s">
        <v>222</v>
      </c>
      <c r="L1" s="35"/>
      <c r="M1" s="35"/>
    </row>
    <row r="2" s="28" customFormat="1" ht="30" customHeight="1" spans="1:13">
      <c r="A2" s="32" t="s">
        <v>18</v>
      </c>
      <c r="B2" s="32" t="s">
        <v>19</v>
      </c>
      <c r="C2" s="32" t="s">
        <v>223</v>
      </c>
      <c r="D2" s="32" t="s">
        <v>224</v>
      </c>
      <c r="E2" s="32" t="s">
        <v>20</v>
      </c>
      <c r="F2" s="32" t="s">
        <v>21</v>
      </c>
      <c r="G2" s="32" t="s">
        <v>22</v>
      </c>
      <c r="H2" s="36" t="s">
        <v>193</v>
      </c>
      <c r="I2" s="36" t="s">
        <v>194</v>
      </c>
      <c r="J2" s="36" t="s">
        <v>195</v>
      </c>
      <c r="K2" s="36" t="s">
        <v>193</v>
      </c>
      <c r="L2" s="36" t="s">
        <v>194</v>
      </c>
      <c r="M2" s="36" t="s">
        <v>195</v>
      </c>
    </row>
    <row r="3" s="29" customFormat="1" ht="25" customHeight="1" spans="1:13">
      <c r="A3" s="33" t="s">
        <v>225</v>
      </c>
      <c r="B3" s="33" t="s">
        <v>226</v>
      </c>
      <c r="C3" s="33">
        <v>450</v>
      </c>
      <c r="D3" s="33" t="s">
        <v>227</v>
      </c>
      <c r="E3" s="33">
        <v>936</v>
      </c>
      <c r="F3" s="33">
        <v>36</v>
      </c>
      <c r="G3" s="33">
        <v>26</v>
      </c>
      <c r="H3" s="37">
        <v>57.99</v>
      </c>
      <c r="I3" s="37">
        <v>60.78</v>
      </c>
      <c r="J3" s="37">
        <v>65.24</v>
      </c>
      <c r="K3" s="38">
        <v>0.129</v>
      </c>
      <c r="L3" s="38">
        <v>0.135</v>
      </c>
      <c r="M3" s="38">
        <v>0.145</v>
      </c>
    </row>
    <row r="4" s="29" customFormat="1" ht="25" customHeight="1" spans="1:13">
      <c r="A4" s="33" t="s">
        <v>228</v>
      </c>
      <c r="B4" s="33" t="s">
        <v>229</v>
      </c>
      <c r="C4" s="33">
        <v>500</v>
      </c>
      <c r="D4" s="33" t="s">
        <v>230</v>
      </c>
      <c r="E4" s="33">
        <v>864</v>
      </c>
      <c r="F4" s="33">
        <v>36</v>
      </c>
      <c r="G4" s="33">
        <v>24</v>
      </c>
      <c r="H4" s="37">
        <v>60.62</v>
      </c>
      <c r="I4" s="37">
        <v>63.53</v>
      </c>
      <c r="J4" s="37">
        <v>68.2</v>
      </c>
      <c r="K4" s="38">
        <v>0.121</v>
      </c>
      <c r="L4" s="38">
        <v>0.127</v>
      </c>
      <c r="M4" s="38">
        <v>0.136</v>
      </c>
    </row>
    <row r="5" s="29" customFormat="1" ht="25" customHeight="1" spans="1:13">
      <c r="A5" s="33" t="s">
        <v>228</v>
      </c>
      <c r="B5" s="33" t="s">
        <v>229</v>
      </c>
      <c r="C5" s="33">
        <v>500</v>
      </c>
      <c r="D5" s="33" t="s">
        <v>231</v>
      </c>
      <c r="E5" s="33">
        <v>864</v>
      </c>
      <c r="F5" s="33">
        <v>36</v>
      </c>
      <c r="G5" s="33">
        <v>24</v>
      </c>
      <c r="H5" s="37">
        <v>62.14</v>
      </c>
      <c r="I5" s="37">
        <v>65.12</v>
      </c>
      <c r="J5" s="37">
        <v>69.9</v>
      </c>
      <c r="K5" s="38">
        <v>0.124</v>
      </c>
      <c r="L5" s="38">
        <v>0.13</v>
      </c>
      <c r="M5" s="38">
        <v>0.14</v>
      </c>
    </row>
    <row r="6" s="29" customFormat="1" ht="25" customHeight="1" spans="1:13">
      <c r="A6" s="33" t="s">
        <v>232</v>
      </c>
      <c r="B6" s="33" t="s">
        <v>233</v>
      </c>
      <c r="C6" s="33">
        <v>620</v>
      </c>
      <c r="D6" s="33" t="s">
        <v>234</v>
      </c>
      <c r="E6" s="33">
        <v>720</v>
      </c>
      <c r="F6" s="33">
        <v>36</v>
      </c>
      <c r="G6" s="33">
        <v>20</v>
      </c>
      <c r="H6" s="37">
        <v>68.08</v>
      </c>
      <c r="I6" s="37">
        <v>71.36</v>
      </c>
      <c r="J6" s="37">
        <v>76.59</v>
      </c>
      <c r="K6" s="38">
        <v>0.11</v>
      </c>
      <c r="L6" s="38">
        <v>0.115</v>
      </c>
      <c r="M6" s="38">
        <v>0.124</v>
      </c>
    </row>
    <row r="7" s="29" customFormat="1" ht="25" customHeight="1" spans="1:13">
      <c r="A7" s="33" t="s">
        <v>235</v>
      </c>
      <c r="B7" s="33" t="s">
        <v>236</v>
      </c>
      <c r="C7" s="33">
        <v>655</v>
      </c>
      <c r="D7" s="33" t="s">
        <v>237</v>
      </c>
      <c r="E7" s="33">
        <v>720</v>
      </c>
      <c r="F7" s="33">
        <v>36</v>
      </c>
      <c r="G7" s="33">
        <v>20</v>
      </c>
      <c r="H7" s="37">
        <v>86.94</v>
      </c>
      <c r="I7" s="37">
        <v>91.87</v>
      </c>
      <c r="J7" s="37">
        <v>100.07</v>
      </c>
      <c r="K7" s="38">
        <v>0.133</v>
      </c>
      <c r="L7" s="38">
        <v>0.14</v>
      </c>
      <c r="M7" s="38">
        <v>0.153</v>
      </c>
    </row>
    <row r="8" s="29" customFormat="1" ht="25" customHeight="1" spans="1:13">
      <c r="A8" s="33" t="s">
        <v>235</v>
      </c>
      <c r="B8" s="33" t="s">
        <v>238</v>
      </c>
      <c r="C8" s="33">
        <v>660</v>
      </c>
      <c r="D8" s="34" t="s">
        <v>237</v>
      </c>
      <c r="E8" s="33">
        <v>720</v>
      </c>
      <c r="F8" s="33">
        <v>36</v>
      </c>
      <c r="G8" s="33">
        <v>20</v>
      </c>
      <c r="H8" s="37">
        <v>87.6</v>
      </c>
      <c r="I8" s="37">
        <v>92.56</v>
      </c>
      <c r="J8" s="37">
        <v>100.82</v>
      </c>
      <c r="K8" s="38">
        <v>0.133</v>
      </c>
      <c r="L8" s="38">
        <v>0.14</v>
      </c>
      <c r="M8" s="38">
        <v>0.153</v>
      </c>
    </row>
    <row r="9" s="29" customFormat="1" ht="25" customHeight="1" spans="1:13">
      <c r="A9" s="33" t="s">
        <v>232</v>
      </c>
      <c r="B9" s="33" t="s">
        <v>239</v>
      </c>
      <c r="C9" s="33">
        <v>715</v>
      </c>
      <c r="D9" s="33" t="s">
        <v>234</v>
      </c>
      <c r="E9" s="33">
        <v>594</v>
      </c>
      <c r="F9" s="33">
        <v>33</v>
      </c>
      <c r="G9" s="33">
        <v>18</v>
      </c>
      <c r="H9" s="37">
        <v>79.87</v>
      </c>
      <c r="I9" s="37">
        <v>83.7</v>
      </c>
      <c r="J9" s="37">
        <v>89.85</v>
      </c>
      <c r="K9" s="38">
        <v>0.112</v>
      </c>
      <c r="L9" s="38">
        <v>0.117</v>
      </c>
      <c r="M9" s="38">
        <v>0.126</v>
      </c>
    </row>
    <row r="10" s="28" customFormat="1" ht="23" customHeight="1" spans="1:19">
      <c r="A10" s="33" t="s">
        <v>232</v>
      </c>
      <c r="B10" s="33" t="s">
        <v>239</v>
      </c>
      <c r="C10" s="33">
        <v>720</v>
      </c>
      <c r="D10" s="33" t="s">
        <v>234</v>
      </c>
      <c r="E10" s="33">
        <v>594</v>
      </c>
      <c r="F10" s="33">
        <v>33</v>
      </c>
      <c r="G10" s="33">
        <v>18</v>
      </c>
      <c r="H10" s="37">
        <v>79.32</v>
      </c>
      <c r="I10" s="37">
        <v>83.14</v>
      </c>
      <c r="J10" s="37">
        <v>89.24</v>
      </c>
      <c r="K10" s="38">
        <v>0.11</v>
      </c>
      <c r="L10" s="38">
        <v>0.115</v>
      </c>
      <c r="M10" s="38">
        <v>0.124</v>
      </c>
      <c r="N10" s="29"/>
      <c r="O10" s="29"/>
      <c r="P10" s="29"/>
      <c r="Q10" s="29"/>
      <c r="R10" s="29"/>
      <c r="S10" s="29"/>
    </row>
    <row r="11" spans="14:19">
      <c r="N11" s="29"/>
      <c r="O11" s="29"/>
      <c r="P11" s="29"/>
      <c r="Q11" s="29"/>
      <c r="R11" s="29"/>
      <c r="S11" s="29"/>
    </row>
  </sheetData>
  <mergeCells count="4">
    <mergeCell ref="A1:D1"/>
    <mergeCell ref="E1:G1"/>
    <mergeCell ref="H1:J1"/>
    <mergeCell ref="K1:M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21" sqref="G21"/>
    </sheetView>
  </sheetViews>
  <sheetFormatPr defaultColWidth="9" defaultRowHeight="16.8" outlineLevelCol="6"/>
  <cols>
    <col min="1" max="1" width="18.4107142857143" customWidth="1"/>
    <col min="2" max="2" width="9.41071428571429" customWidth="1"/>
    <col min="3" max="4" width="13.5357142857143" style="5" customWidth="1"/>
    <col min="5" max="5" width="19.8303571428571" customWidth="1"/>
    <col min="6" max="6" width="20.8303571428571" customWidth="1"/>
    <col min="7" max="7" width="15.3303571428571" customWidth="1"/>
  </cols>
  <sheetData>
    <row r="1" customFormat="1" spans="1:7">
      <c r="A1" s="6" t="s">
        <v>196</v>
      </c>
      <c r="B1" s="7"/>
      <c r="C1" s="8"/>
      <c r="D1" s="8"/>
      <c r="E1" s="7"/>
      <c r="F1" s="7"/>
      <c r="G1" s="7"/>
    </row>
    <row r="2" customFormat="1" ht="34" spans="1:7">
      <c r="A2" s="9" t="s">
        <v>240</v>
      </c>
      <c r="B2" s="10" t="s">
        <v>241</v>
      </c>
      <c r="C2" s="11" t="s">
        <v>242</v>
      </c>
      <c r="D2" s="11" t="s">
        <v>243</v>
      </c>
      <c r="E2" s="19" t="s">
        <v>244</v>
      </c>
      <c r="F2" s="19" t="s">
        <v>245</v>
      </c>
      <c r="G2" s="20" t="s">
        <v>246</v>
      </c>
    </row>
    <row r="3" customFormat="1" spans="1:7">
      <c r="A3" s="12" t="s">
        <v>247</v>
      </c>
      <c r="B3" s="13">
        <v>450</v>
      </c>
      <c r="C3" s="14">
        <v>2850</v>
      </c>
      <c r="D3" s="14">
        <f>C3/汇率!$B$2</f>
        <v>415.282392026578</v>
      </c>
      <c r="E3" s="21">
        <v>2999</v>
      </c>
      <c r="F3" s="21">
        <v>13360</v>
      </c>
      <c r="G3" s="22">
        <v>17815</v>
      </c>
    </row>
    <row r="4" customFormat="1" spans="1:7">
      <c r="A4" s="15" t="s">
        <v>248</v>
      </c>
      <c r="B4" s="16">
        <v>450</v>
      </c>
      <c r="C4" s="17">
        <v>5150</v>
      </c>
      <c r="D4" s="14">
        <f>C4/汇率!$B$2</f>
        <v>750.422568048027</v>
      </c>
      <c r="E4" s="23">
        <v>5499</v>
      </c>
      <c r="F4" s="23">
        <v>24499</v>
      </c>
      <c r="G4" s="24">
        <v>31800</v>
      </c>
    </row>
    <row r="5" customFormat="1" spans="3:6">
      <c r="C5" s="18"/>
      <c r="D5" s="18"/>
      <c r="E5" s="25"/>
      <c r="F5" s="25"/>
    </row>
    <row r="6" customFormat="1" spans="1:7">
      <c r="A6" s="6" t="s">
        <v>204</v>
      </c>
      <c r="B6" s="7"/>
      <c r="C6" s="8"/>
      <c r="D6" s="8"/>
      <c r="E6" s="26"/>
      <c r="F6" s="26"/>
      <c r="G6" s="7"/>
    </row>
    <row r="7" customFormat="1" ht="34" spans="1:7">
      <c r="A7" s="9" t="s">
        <v>240</v>
      </c>
      <c r="B7" s="10" t="s">
        <v>241</v>
      </c>
      <c r="C7" s="11" t="s">
        <v>242</v>
      </c>
      <c r="D7" s="11" t="s">
        <v>243</v>
      </c>
      <c r="E7" s="19" t="s">
        <v>244</v>
      </c>
      <c r="F7" s="19" t="s">
        <v>249</v>
      </c>
      <c r="G7" s="20" t="s">
        <v>250</v>
      </c>
    </row>
    <row r="8" customFormat="1" spans="1:7">
      <c r="A8" s="12" t="s">
        <v>247</v>
      </c>
      <c r="B8" s="13">
        <v>450</v>
      </c>
      <c r="C8" s="14">
        <v>3099</v>
      </c>
      <c r="D8" s="14">
        <f>C8/汇率!$B$2</f>
        <v>451.5649589089</v>
      </c>
      <c r="E8" s="21">
        <v>3399</v>
      </c>
      <c r="F8" s="21">
        <v>12800000</v>
      </c>
      <c r="G8" s="22">
        <v>1660000</v>
      </c>
    </row>
    <row r="9" customFormat="1" spans="1:7">
      <c r="A9" s="15" t="s">
        <v>248</v>
      </c>
      <c r="B9" s="16">
        <v>450</v>
      </c>
      <c r="C9" s="17">
        <v>5799</v>
      </c>
      <c r="D9" s="14">
        <f>C9/汇率!$B$2</f>
        <v>844.990382934079</v>
      </c>
      <c r="E9" s="23">
        <v>6499</v>
      </c>
      <c r="F9" s="23">
        <v>24500000</v>
      </c>
      <c r="G9" s="24">
        <v>30000000</v>
      </c>
    </row>
    <row r="10" customFormat="1" ht="18" customHeight="1" spans="1:7">
      <c r="A10" s="7"/>
      <c r="B10" s="7"/>
      <c r="C10" s="8"/>
      <c r="D10" s="8"/>
      <c r="E10" s="26"/>
      <c r="F10" s="26"/>
      <c r="G10" s="7"/>
    </row>
    <row r="11" customFormat="1" spans="1:7">
      <c r="A11" s="6" t="s">
        <v>205</v>
      </c>
      <c r="B11" s="7"/>
      <c r="C11" s="8"/>
      <c r="D11" s="8"/>
      <c r="E11" s="26"/>
      <c r="F11" s="26"/>
      <c r="G11" s="7"/>
    </row>
    <row r="12" customFormat="1" ht="34" spans="1:7">
      <c r="A12" s="9" t="s">
        <v>240</v>
      </c>
      <c r="B12" s="10" t="s">
        <v>241</v>
      </c>
      <c r="C12" s="11" t="s">
        <v>242</v>
      </c>
      <c r="D12" s="11" t="s">
        <v>243</v>
      </c>
      <c r="E12" s="19" t="s">
        <v>244</v>
      </c>
      <c r="F12" s="19" t="s">
        <v>251</v>
      </c>
      <c r="G12" s="20" t="s">
        <v>252</v>
      </c>
    </row>
    <row r="13" customFormat="1" spans="1:7">
      <c r="A13" s="12" t="s">
        <v>247</v>
      </c>
      <c r="B13" s="13">
        <v>450</v>
      </c>
      <c r="C13" s="14">
        <v>3099</v>
      </c>
      <c r="D13" s="14">
        <f>C13/汇率!$B$2</f>
        <v>451.5649589089</v>
      </c>
      <c r="E13" s="21">
        <v>3399</v>
      </c>
      <c r="F13" s="21">
        <v>1999</v>
      </c>
      <c r="G13" s="22">
        <v>2559</v>
      </c>
    </row>
    <row r="14" customFormat="1" spans="1:7">
      <c r="A14" s="15" t="s">
        <v>248</v>
      </c>
      <c r="B14" s="16">
        <v>450</v>
      </c>
      <c r="C14" s="17">
        <v>5799</v>
      </c>
      <c r="D14" s="14">
        <f>C14/汇率!$B$2</f>
        <v>844.990382934079</v>
      </c>
      <c r="E14" s="23">
        <v>6499</v>
      </c>
      <c r="F14" s="23">
        <v>3799</v>
      </c>
      <c r="G14" s="24">
        <v>4699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14" sqref="F14"/>
    </sheetView>
  </sheetViews>
  <sheetFormatPr defaultColWidth="8.66964285714286" defaultRowHeight="16.8" outlineLevelRow="4" outlineLevelCol="2"/>
  <cols>
    <col min="1" max="1" width="19.4196428571429" customWidth="1"/>
    <col min="2" max="2" width="19.5803571428571" customWidth="1"/>
    <col min="3" max="3" width="13.8303571428571" customWidth="1"/>
  </cols>
  <sheetData>
    <row r="1" ht="17.55" spans="1:3">
      <c r="A1" s="1" t="s">
        <v>253</v>
      </c>
      <c r="B1" s="1" t="s">
        <v>254</v>
      </c>
      <c r="C1" s="2" t="s">
        <v>255</v>
      </c>
    </row>
    <row r="2" ht="17.55" spans="1:3">
      <c r="A2" s="3" t="s">
        <v>23</v>
      </c>
      <c r="B2" s="3" t="s">
        <v>256</v>
      </c>
      <c r="C2" s="3" t="s">
        <v>193</v>
      </c>
    </row>
    <row r="3" ht="32.75" spans="1:3">
      <c r="A3" s="3" t="s">
        <v>24</v>
      </c>
      <c r="B3" s="3" t="s">
        <v>257</v>
      </c>
      <c r="C3" s="3" t="s">
        <v>258</v>
      </c>
    </row>
    <row r="4" ht="17.55" spans="1:3">
      <c r="A4" s="3" t="s">
        <v>25</v>
      </c>
      <c r="B4" s="4"/>
      <c r="C4" s="3" t="s">
        <v>259</v>
      </c>
    </row>
    <row r="5" ht="17.55" spans="1:3">
      <c r="A5" s="3" t="s">
        <v>26</v>
      </c>
      <c r="B5" s="4"/>
      <c r="C5" s="4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汇率</vt:lpstr>
      <vt:lpstr>逆变器-硕日</vt:lpstr>
      <vt:lpstr>逆变器-固德威</vt:lpstr>
      <vt:lpstr>逆变器-10年质保</vt:lpstr>
      <vt:lpstr>东南亚仓组件</vt:lpstr>
      <vt:lpstr>东南亚仓逆变器</vt:lpstr>
      <vt:lpstr>FOB组件参考价（东南亚）</vt:lpstr>
      <vt:lpstr>阳台光伏(东南亚)</vt:lpstr>
      <vt:lpstr>客户类型定义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坤</cp:lastModifiedBy>
  <dcterms:created xsi:type="dcterms:W3CDTF">2026-01-31T21:25:00Z</dcterms:created>
  <dcterms:modified xsi:type="dcterms:W3CDTF">2026-05-13T18:13:00Z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533B29B49C9A9842CC3C046A4DADB861_43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